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endimentos" sheetId="1" r:id="rId5"/>
    <sheet state="visible" name="profissionais" sheetId="2" r:id="rId6"/>
    <sheet state="visible" name="servicos" sheetId="3" r:id="rId7"/>
    <sheet state="visible" name="estoque" sheetId="4" r:id="rId8"/>
    <sheet state="visible" name="vendas" sheetId="5" r:id="rId9"/>
    <sheet state="visible" name="gastos" sheetId="6" r:id="rId10"/>
    <sheet state="visible" name="calculos" sheetId="7" r:id="rId11"/>
  </sheets>
  <definedNames/>
  <calcPr/>
</workbook>
</file>

<file path=xl/sharedStrings.xml><?xml version="1.0" encoding="utf-8"?>
<sst xmlns="http://schemas.openxmlformats.org/spreadsheetml/2006/main" count="199" uniqueCount="118">
  <si>
    <t>ID</t>
  </si>
  <si>
    <t>DATA</t>
  </si>
  <si>
    <t>CLIENTE</t>
  </si>
  <si>
    <t>PROFISSIONAL</t>
  </si>
  <si>
    <t>SERVICO</t>
  </si>
  <si>
    <t>VALOR</t>
  </si>
  <si>
    <t>COMISSAO</t>
  </si>
  <si>
    <t>CL_001</t>
  </si>
  <si>
    <t>Neide Castro</t>
  </si>
  <si>
    <t>Design de Sobrancelha</t>
  </si>
  <si>
    <t>CL_002</t>
  </si>
  <si>
    <t>Mara Cristina</t>
  </si>
  <si>
    <t>Unhas Acrigel</t>
  </si>
  <si>
    <t>CL_003</t>
  </si>
  <si>
    <t>Perla Moura</t>
  </si>
  <si>
    <t>Box Braids</t>
  </si>
  <si>
    <t>CL_004</t>
  </si>
  <si>
    <t>Henna</t>
  </si>
  <si>
    <t>CL_005</t>
  </si>
  <si>
    <t>CL_006</t>
  </si>
  <si>
    <t>Zete Souza</t>
  </si>
  <si>
    <t>Dreads</t>
  </si>
  <si>
    <t>CL_007</t>
  </si>
  <si>
    <t>Penteado Artistico</t>
  </si>
  <si>
    <t>CL_008</t>
  </si>
  <si>
    <t>Pé e Mão</t>
  </si>
  <si>
    <t>CL_009</t>
  </si>
  <si>
    <t>Jhennifer Novaes</t>
  </si>
  <si>
    <t>Relaxamento</t>
  </si>
  <si>
    <t>CL_010</t>
  </si>
  <si>
    <t>CL_011</t>
  </si>
  <si>
    <t>Trança Nagô</t>
  </si>
  <si>
    <t>CL_012</t>
  </si>
  <si>
    <t>CL_013</t>
  </si>
  <si>
    <t>CL_014</t>
  </si>
  <si>
    <t>CL_015</t>
  </si>
  <si>
    <t>Ana Amorim</t>
  </si>
  <si>
    <t>Corte</t>
  </si>
  <si>
    <t>CL_016</t>
  </si>
  <si>
    <t>Rita Neves</t>
  </si>
  <si>
    <t>CL_017</t>
  </si>
  <si>
    <t>Tratamento Luxo</t>
  </si>
  <si>
    <t>CL_018</t>
  </si>
  <si>
    <t>CL_019</t>
  </si>
  <si>
    <t>CL_020</t>
  </si>
  <si>
    <t>CL_021</t>
  </si>
  <si>
    <t>CL_022</t>
  </si>
  <si>
    <t>CL_023</t>
  </si>
  <si>
    <t>CL_024</t>
  </si>
  <si>
    <t>CL_025</t>
  </si>
  <si>
    <t>Tratamento Simples</t>
  </si>
  <si>
    <t>CL_026</t>
  </si>
  <si>
    <t>CL_027</t>
  </si>
  <si>
    <t>CL_028</t>
  </si>
  <si>
    <t>CL_029</t>
  </si>
  <si>
    <t>CL_030</t>
  </si>
  <si>
    <t>CL_031</t>
  </si>
  <si>
    <t>CL_032</t>
  </si>
  <si>
    <t>CL_033</t>
  </si>
  <si>
    <t>CL_034</t>
  </si>
  <si>
    <t>CL_035</t>
  </si>
  <si>
    <t>CL_036</t>
  </si>
  <si>
    <t>CL_037</t>
  </si>
  <si>
    <t>CL_038</t>
  </si>
  <si>
    <t>CL_039</t>
  </si>
  <si>
    <t>CL_040</t>
  </si>
  <si>
    <t>CL_041</t>
  </si>
  <si>
    <t>CL_042</t>
  </si>
  <si>
    <t>CL_043</t>
  </si>
  <si>
    <t>CL_044</t>
  </si>
  <si>
    <t>ESPECIALIDADE</t>
  </si>
  <si>
    <t xml:space="preserve">% COMISSAO </t>
  </si>
  <si>
    <t>FATURAMENTO</t>
  </si>
  <si>
    <t>SALÁRIO TOTAL</t>
  </si>
  <si>
    <t>Pé e Mão, Unhas Acrigel</t>
  </si>
  <si>
    <t>Box Braids, Dreads, Trança Nago</t>
  </si>
  <si>
    <t>Corte, Tratamento Luxo, Tratamento Simples, Pé e Mão</t>
  </si>
  <si>
    <t>Faux Locs, Relaxamento, Tratamento Luxo</t>
  </si>
  <si>
    <t>Design de Sobrancelha, Henna</t>
  </si>
  <si>
    <t>Penteado Artistico, Unhas Acrigel</t>
  </si>
  <si>
    <t>PRECO</t>
  </si>
  <si>
    <t>TEMPO MEDIO</t>
  </si>
  <si>
    <t>Faux Locs</t>
  </si>
  <si>
    <t>PRODUTO</t>
  </si>
  <si>
    <t>PRECO DE CUSTO</t>
  </si>
  <si>
    <t>PRECO DE VENDA</t>
  </si>
  <si>
    <t>ESTOQUE MINIMO</t>
  </si>
  <si>
    <t>QTD. VENDIDA</t>
  </si>
  <si>
    <t>ESTOQUE ATUAL</t>
  </si>
  <si>
    <t>kit cabelo</t>
  </si>
  <si>
    <t>oléo de coco</t>
  </si>
  <si>
    <t>touca de cetim</t>
  </si>
  <si>
    <t>durag</t>
  </si>
  <si>
    <t>shampoo rei dos cachos</t>
  </si>
  <si>
    <t>oleo extraordinario</t>
  </si>
  <si>
    <t>merchan camisa</t>
  </si>
  <si>
    <t>merchan ecobag</t>
  </si>
  <si>
    <t>creme para fibra organica</t>
  </si>
  <si>
    <t>QTD.</t>
  </si>
  <si>
    <t>TOTAL</t>
  </si>
  <si>
    <t>DESCRICAO</t>
  </si>
  <si>
    <t>CATEGORIA</t>
  </si>
  <si>
    <t>aluguel</t>
  </si>
  <si>
    <t>conta de luz</t>
  </si>
  <si>
    <t>conta de internet</t>
  </si>
  <si>
    <t>material salão</t>
  </si>
  <si>
    <t>produtos de limpeza</t>
  </si>
  <si>
    <t>produtos de cozinha</t>
  </si>
  <si>
    <t>profissional de marketing</t>
  </si>
  <si>
    <t>profissional de limpeza</t>
  </si>
  <si>
    <t>Descrição</t>
  </si>
  <si>
    <t>Valor Total</t>
  </si>
  <si>
    <t>Total de atendimentos</t>
  </si>
  <si>
    <t>Total de Vendas</t>
  </si>
  <si>
    <t>Faturamento Total</t>
  </si>
  <si>
    <t>Total de Comissões</t>
  </si>
  <si>
    <t>Total de Gastos</t>
  </si>
  <si>
    <t>Lucro Liquido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</si>
</sst>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calculos!$B$1</c:f>
            </c:strRef>
          </c:tx>
          <c:spPr>
            <a:solidFill>
              <a:srgbClr val="BF9000">
                <a:alpha val="30000"/>
              </a:srgbClr>
            </a:solidFill>
            <a:ln cmpd="sng">
              <a:solidFill>
                <a:srgbClr val="BF9000">
                  <a:alpha val="100000"/>
                </a:srgbClr>
              </a:solidFill>
            </a:ln>
          </c:spPr>
          <c:cat>
            <c:strRef>
              <c:f>calculos!$A$2:$A$7</c:f>
            </c:strRef>
          </c:cat>
          <c:val>
            <c:numRef>
              <c:f>calculos!$B$2:$B$7</c:f>
              <c:numCache/>
            </c:numRef>
          </c:val>
        </c:ser>
        <c:axId val="358919302"/>
        <c:axId val="991638578"/>
      </c:areaChart>
      <c:catAx>
        <c:axId val="358919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638578"/>
      </c:catAx>
      <c:valAx>
        <c:axId val="991638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919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0</xdr:rowOff>
    </xdr:from>
    <xdr:ext cx="5210175" cy="14001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4" max="4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1.0</v>
      </c>
      <c r="B2" s="3">
        <v>45992.0</v>
      </c>
      <c r="C2" s="2" t="s">
        <v>7</v>
      </c>
      <c r="D2" s="2" t="s">
        <v>8</v>
      </c>
      <c r="E2" s="2" t="s">
        <v>9</v>
      </c>
      <c r="F2" s="4">
        <f>VLOOKUP(E2, servicos!B:C, 2, 0)</f>
        <v>100</v>
      </c>
      <c r="G2" s="4">
        <f>F2 * VLOOKUP(D2, profissionais!B:D, 3, 0)</f>
        <v>40</v>
      </c>
    </row>
    <row r="3">
      <c r="A3" s="2">
        <v>2.0</v>
      </c>
      <c r="B3" s="3">
        <v>45992.0</v>
      </c>
      <c r="C3" s="2" t="s">
        <v>10</v>
      </c>
      <c r="D3" s="2" t="s">
        <v>11</v>
      </c>
      <c r="E3" s="2" t="s">
        <v>12</v>
      </c>
      <c r="F3" s="4">
        <f>VLOOKUP(E3, servicos!B:C, 2, 0)</f>
        <v>280</v>
      </c>
      <c r="G3" s="4">
        <f>F3 * VLOOKUP(D3, profissionais!B:D, 3, 0)</f>
        <v>112</v>
      </c>
    </row>
    <row r="4">
      <c r="A4" s="2">
        <v>3.0</v>
      </c>
      <c r="B4" s="3">
        <v>45992.0</v>
      </c>
      <c r="C4" s="2" t="s">
        <v>13</v>
      </c>
      <c r="D4" s="2" t="s">
        <v>14</v>
      </c>
      <c r="E4" s="2" t="s">
        <v>15</v>
      </c>
      <c r="F4" s="4">
        <f>VLOOKUP(E4, servicos!B:C, 2, 0)</f>
        <v>450</v>
      </c>
      <c r="G4" s="4">
        <f>F4 * VLOOKUP(D4, profissionais!B:D, 3, 0)</f>
        <v>180</v>
      </c>
    </row>
    <row r="5">
      <c r="A5" s="2">
        <v>4.0</v>
      </c>
      <c r="B5" s="3">
        <v>45992.0</v>
      </c>
      <c r="C5" s="2" t="s">
        <v>16</v>
      </c>
      <c r="D5" s="2" t="s">
        <v>8</v>
      </c>
      <c r="E5" s="2" t="s">
        <v>17</v>
      </c>
      <c r="F5" s="4">
        <f>VLOOKUP(E5, servicos!B:C, 2, 0)</f>
        <v>45</v>
      </c>
      <c r="G5" s="4">
        <f>F5 * VLOOKUP(D5, profissionais!B:D, 3, 0)</f>
        <v>18</v>
      </c>
    </row>
    <row r="6">
      <c r="A6" s="2">
        <v>5.0</v>
      </c>
      <c r="B6" s="3">
        <v>45992.0</v>
      </c>
      <c r="C6" s="2" t="s">
        <v>18</v>
      </c>
      <c r="D6" s="2" t="s">
        <v>8</v>
      </c>
      <c r="E6" s="2" t="s">
        <v>9</v>
      </c>
      <c r="F6" s="4">
        <f>VLOOKUP(E6, servicos!B:C, 2, 0)</f>
        <v>100</v>
      </c>
      <c r="G6" s="4">
        <f>F6 * VLOOKUP(D6, profissionais!B:D, 3, 0)</f>
        <v>40</v>
      </c>
    </row>
    <row r="7">
      <c r="A7" s="2">
        <v>6.0</v>
      </c>
      <c r="B7" s="3">
        <v>45992.0</v>
      </c>
      <c r="C7" s="2" t="s">
        <v>19</v>
      </c>
      <c r="D7" s="2" t="s">
        <v>20</v>
      </c>
      <c r="E7" s="2" t="s">
        <v>21</v>
      </c>
      <c r="F7" s="4">
        <f>VLOOKUP(E7, servicos!B:C, 2, 0)</f>
        <v>580</v>
      </c>
      <c r="G7" s="4">
        <f>F7 * VLOOKUP(D7, profissionais!B:D, 3, 0)</f>
        <v>232</v>
      </c>
    </row>
    <row r="8">
      <c r="A8" s="2">
        <v>7.0</v>
      </c>
      <c r="B8" s="3">
        <v>45992.0</v>
      </c>
      <c r="C8" s="2" t="s">
        <v>22</v>
      </c>
      <c r="D8" s="2" t="s">
        <v>11</v>
      </c>
      <c r="E8" s="2" t="s">
        <v>23</v>
      </c>
      <c r="F8" s="4">
        <f>VLOOKUP(E8, servicos!B:C, 2, 0)</f>
        <v>350</v>
      </c>
      <c r="G8" s="4">
        <f>F8 * VLOOKUP(D8, profissionais!B:D, 3, 0)</f>
        <v>140</v>
      </c>
    </row>
    <row r="9">
      <c r="A9" s="2">
        <v>8.0</v>
      </c>
      <c r="B9" s="3">
        <v>45992.0</v>
      </c>
      <c r="C9" s="2" t="s">
        <v>24</v>
      </c>
      <c r="D9" s="2" t="s">
        <v>8</v>
      </c>
      <c r="E9" s="2" t="s">
        <v>25</v>
      </c>
      <c r="F9" s="4">
        <f>VLOOKUP(E9, servicos!B:C, 2, 0)</f>
        <v>60</v>
      </c>
      <c r="G9" s="4">
        <f>F9 * VLOOKUP(D9, profissionais!B:D, 3, 0)</f>
        <v>24</v>
      </c>
    </row>
    <row r="10">
      <c r="A10" s="2">
        <v>9.0</v>
      </c>
      <c r="B10" s="3">
        <v>45993.0</v>
      </c>
      <c r="C10" s="2" t="s">
        <v>26</v>
      </c>
      <c r="D10" s="2" t="s">
        <v>27</v>
      </c>
      <c r="E10" s="2" t="s">
        <v>28</v>
      </c>
      <c r="F10" s="4">
        <f>VLOOKUP(E10, servicos!B:C, 2, 0)</f>
        <v>150</v>
      </c>
      <c r="G10" s="4">
        <f>F10 * VLOOKUP(D10, profissionais!B:D, 3, 0)</f>
        <v>60</v>
      </c>
    </row>
    <row r="11">
      <c r="A11" s="2">
        <v>10.0</v>
      </c>
      <c r="B11" s="3">
        <v>45993.0</v>
      </c>
      <c r="C11" s="2" t="s">
        <v>29</v>
      </c>
      <c r="D11" s="2" t="s">
        <v>11</v>
      </c>
      <c r="E11" s="2" t="s">
        <v>12</v>
      </c>
      <c r="F11" s="4">
        <f>VLOOKUP(E11, servicos!B:C, 2, 0)</f>
        <v>280</v>
      </c>
      <c r="G11" s="4">
        <f>F11 * VLOOKUP(D11, profissionais!B:D, 3, 0)</f>
        <v>112</v>
      </c>
    </row>
    <row r="12">
      <c r="A12" s="2">
        <v>11.0</v>
      </c>
      <c r="B12" s="3">
        <v>45993.0</v>
      </c>
      <c r="C12" s="2" t="s">
        <v>30</v>
      </c>
      <c r="D12" s="2" t="s">
        <v>14</v>
      </c>
      <c r="E12" s="2" t="s">
        <v>31</v>
      </c>
      <c r="F12" s="4">
        <f>VLOOKUP(E12, servicos!B:C, 2, 0)</f>
        <v>280</v>
      </c>
      <c r="G12" s="4">
        <f>F12 * VLOOKUP(D12, profissionais!B:D, 3, 0)</f>
        <v>112</v>
      </c>
    </row>
    <row r="13">
      <c r="A13" s="2">
        <v>12.0</v>
      </c>
      <c r="B13" s="3">
        <v>45993.0</v>
      </c>
      <c r="C13" s="2" t="s">
        <v>32</v>
      </c>
      <c r="D13" s="2" t="s">
        <v>8</v>
      </c>
      <c r="E13" s="2" t="s">
        <v>9</v>
      </c>
      <c r="F13" s="4">
        <f>VLOOKUP(E13, servicos!B:C, 2, 0)</f>
        <v>100</v>
      </c>
      <c r="G13" s="4">
        <f>F13 * VLOOKUP(D13, profissionais!B:D, 3, 0)</f>
        <v>40</v>
      </c>
    </row>
    <row r="14">
      <c r="A14" s="2">
        <v>13.0</v>
      </c>
      <c r="B14" s="3">
        <v>45993.0</v>
      </c>
      <c r="C14" s="2" t="s">
        <v>33</v>
      </c>
      <c r="D14" s="2" t="s">
        <v>11</v>
      </c>
      <c r="E14" s="2" t="s">
        <v>23</v>
      </c>
      <c r="F14" s="4">
        <f>VLOOKUP(E14, servicos!B:C, 2, 0)</f>
        <v>350</v>
      </c>
      <c r="G14" s="4">
        <f>F14 * VLOOKUP(D14, profissionais!B:D, 3, 0)</f>
        <v>140</v>
      </c>
    </row>
    <row r="15">
      <c r="A15" s="2">
        <v>14.0</v>
      </c>
      <c r="B15" s="3">
        <v>45993.0</v>
      </c>
      <c r="C15" s="2" t="s">
        <v>34</v>
      </c>
      <c r="D15" s="2" t="s">
        <v>14</v>
      </c>
      <c r="E15" s="2" t="s">
        <v>31</v>
      </c>
      <c r="F15" s="4">
        <f>VLOOKUP(E15, servicos!B:C, 2, 0)</f>
        <v>280</v>
      </c>
      <c r="G15" s="4">
        <f>F15 * VLOOKUP(D15, profissionais!B:D, 3, 0)</f>
        <v>112</v>
      </c>
    </row>
    <row r="16">
      <c r="A16" s="2">
        <v>15.0</v>
      </c>
      <c r="B16" s="3">
        <v>45993.0</v>
      </c>
      <c r="C16" s="2" t="s">
        <v>35</v>
      </c>
      <c r="D16" s="2" t="s">
        <v>36</v>
      </c>
      <c r="E16" s="2" t="s">
        <v>37</v>
      </c>
      <c r="F16" s="4">
        <f>VLOOKUP(E16, servicos!B:C, 2, 0)</f>
        <v>150</v>
      </c>
      <c r="G16" s="4">
        <f>F16 * VLOOKUP(D16, profissionais!B:D, 3, 0)</f>
        <v>60</v>
      </c>
    </row>
    <row r="17">
      <c r="A17" s="2">
        <v>16.0</v>
      </c>
      <c r="B17" s="3">
        <v>45993.0</v>
      </c>
      <c r="C17" s="2" t="s">
        <v>38</v>
      </c>
      <c r="D17" s="2" t="s">
        <v>39</v>
      </c>
      <c r="E17" s="2" t="s">
        <v>25</v>
      </c>
      <c r="F17" s="4">
        <f>VLOOKUP(E17, servicos!B:C, 2, 0)</f>
        <v>60</v>
      </c>
      <c r="G17" s="4">
        <f>F17 * VLOOKUP(D17, profissionais!B:D, 3, 0)</f>
        <v>24</v>
      </c>
    </row>
    <row r="18">
      <c r="A18" s="2">
        <v>17.0</v>
      </c>
      <c r="B18" s="3">
        <v>45993.0</v>
      </c>
      <c r="C18" s="2" t="s">
        <v>40</v>
      </c>
      <c r="D18" s="2" t="s">
        <v>27</v>
      </c>
      <c r="E18" s="2" t="s">
        <v>41</v>
      </c>
      <c r="F18" s="4">
        <f>VLOOKUP(E18, servicos!B:C, 2, 0)</f>
        <v>150</v>
      </c>
      <c r="G18" s="4">
        <f>F18 * VLOOKUP(D18, profissionais!B:D, 3, 0)</f>
        <v>60</v>
      </c>
    </row>
    <row r="19">
      <c r="A19" s="2">
        <v>18.0</v>
      </c>
      <c r="B19" s="3">
        <v>45993.0</v>
      </c>
      <c r="C19" s="2" t="s">
        <v>42</v>
      </c>
      <c r="D19" s="2" t="s">
        <v>14</v>
      </c>
      <c r="E19" s="2" t="s">
        <v>15</v>
      </c>
      <c r="F19" s="4">
        <f>VLOOKUP(E19, servicos!B:C, 2, 0)</f>
        <v>450</v>
      </c>
      <c r="G19" s="4">
        <f>F19 * VLOOKUP(D19, profissionais!B:D, 3, 0)</f>
        <v>180</v>
      </c>
    </row>
    <row r="20">
      <c r="A20" s="2">
        <v>19.0</v>
      </c>
      <c r="B20" s="3">
        <v>45993.0</v>
      </c>
      <c r="C20" s="2" t="s">
        <v>43</v>
      </c>
      <c r="D20" s="2" t="s">
        <v>11</v>
      </c>
      <c r="E20" s="2" t="s">
        <v>12</v>
      </c>
      <c r="F20" s="4">
        <f>VLOOKUP(E20, servicos!B:C, 2, 0)</f>
        <v>280</v>
      </c>
      <c r="G20" s="4">
        <f>F20 * VLOOKUP(D20, profissionais!B:D, 3, 0)</f>
        <v>112</v>
      </c>
    </row>
    <row r="21">
      <c r="A21" s="2">
        <v>20.0</v>
      </c>
      <c r="B21" s="3">
        <v>45993.0</v>
      </c>
      <c r="C21" s="2" t="s">
        <v>44</v>
      </c>
      <c r="D21" s="2" t="s">
        <v>39</v>
      </c>
      <c r="E21" s="2" t="s">
        <v>25</v>
      </c>
      <c r="F21" s="4">
        <f>VLOOKUP(E21, servicos!B:C, 2, 0)</f>
        <v>60</v>
      </c>
      <c r="G21" s="4">
        <f>F21 * VLOOKUP(D21, profissionais!B:D, 3, 0)</f>
        <v>24</v>
      </c>
    </row>
    <row r="22">
      <c r="A22" s="2">
        <v>21.0</v>
      </c>
      <c r="B22" s="3">
        <v>45993.0</v>
      </c>
      <c r="C22" s="2" t="s">
        <v>45</v>
      </c>
      <c r="D22" s="2" t="s">
        <v>8</v>
      </c>
      <c r="E22" s="2" t="s">
        <v>17</v>
      </c>
      <c r="F22" s="4">
        <f>VLOOKUP(E22, servicos!B:C, 2, 0)</f>
        <v>45</v>
      </c>
      <c r="G22" s="4">
        <f>F22 * VLOOKUP(D22, profissionais!B:D, 3, 0)</f>
        <v>18</v>
      </c>
    </row>
    <row r="23">
      <c r="A23" s="2">
        <v>22.0</v>
      </c>
      <c r="B23" s="3">
        <v>45993.0</v>
      </c>
      <c r="C23" s="2" t="s">
        <v>46</v>
      </c>
      <c r="D23" s="2" t="s">
        <v>39</v>
      </c>
      <c r="E23" s="2" t="s">
        <v>12</v>
      </c>
      <c r="F23" s="4">
        <f>VLOOKUP(E23, servicos!B:C, 2, 0)</f>
        <v>280</v>
      </c>
      <c r="G23" s="4">
        <f>F23 * VLOOKUP(D23, profissionais!B:D, 3, 0)</f>
        <v>112</v>
      </c>
    </row>
    <row r="24">
      <c r="A24" s="2">
        <v>23.0</v>
      </c>
      <c r="B24" s="3">
        <v>45993.0</v>
      </c>
      <c r="C24" s="2" t="s">
        <v>47</v>
      </c>
      <c r="D24" s="2" t="s">
        <v>39</v>
      </c>
      <c r="E24" s="2" t="s">
        <v>12</v>
      </c>
      <c r="F24" s="4">
        <f>VLOOKUP(E24, servicos!B:C, 2, 0)</f>
        <v>280</v>
      </c>
      <c r="G24" s="4">
        <f>F24 * VLOOKUP(D24, profissionais!B:D, 3, 0)</f>
        <v>112</v>
      </c>
    </row>
    <row r="25">
      <c r="A25" s="2">
        <v>24.0</v>
      </c>
      <c r="B25" s="3">
        <v>45993.0</v>
      </c>
      <c r="C25" s="2" t="s">
        <v>48</v>
      </c>
      <c r="D25" s="2" t="s">
        <v>36</v>
      </c>
      <c r="E25" s="2" t="s">
        <v>37</v>
      </c>
      <c r="F25" s="4">
        <f>VLOOKUP(E25, servicos!B:C, 2, 0)</f>
        <v>150</v>
      </c>
      <c r="G25" s="4">
        <f>F25 * VLOOKUP(D25, profissionais!B:D, 3, 0)</f>
        <v>60</v>
      </c>
    </row>
    <row r="26">
      <c r="A26" s="2">
        <v>25.0</v>
      </c>
      <c r="B26" s="3">
        <v>45994.0</v>
      </c>
      <c r="C26" s="2" t="s">
        <v>49</v>
      </c>
      <c r="D26" s="2" t="s">
        <v>36</v>
      </c>
      <c r="E26" s="2" t="s">
        <v>50</v>
      </c>
      <c r="F26" s="4">
        <f>VLOOKUP(E26, servicos!B:C, 2, 0)</f>
        <v>80</v>
      </c>
      <c r="G26" s="4">
        <f>F26 * VLOOKUP(D26, profissionais!B:D, 3, 0)</f>
        <v>32</v>
      </c>
    </row>
    <row r="27">
      <c r="A27" s="2">
        <v>26.0</v>
      </c>
      <c r="B27" s="3">
        <v>45994.0</v>
      </c>
      <c r="C27" s="2" t="s">
        <v>51</v>
      </c>
      <c r="D27" s="2" t="s">
        <v>39</v>
      </c>
      <c r="E27" s="2" t="s">
        <v>25</v>
      </c>
      <c r="F27" s="4">
        <f>VLOOKUP(E27, servicos!B:C, 2, 0)</f>
        <v>60</v>
      </c>
      <c r="G27" s="4">
        <f>F27 * VLOOKUP(D27, profissionais!B:D, 3, 0)</f>
        <v>24</v>
      </c>
    </row>
    <row r="28">
      <c r="A28" s="2">
        <v>27.0</v>
      </c>
      <c r="B28" s="3">
        <v>45994.0</v>
      </c>
      <c r="C28" s="2" t="s">
        <v>52</v>
      </c>
      <c r="D28" s="2" t="s">
        <v>36</v>
      </c>
      <c r="E28" s="2" t="s">
        <v>37</v>
      </c>
      <c r="F28" s="4">
        <f>VLOOKUP(E28, servicos!B:C, 2, 0)</f>
        <v>150</v>
      </c>
      <c r="G28" s="4">
        <f>F28 * VLOOKUP(D28, profissionais!B:D, 3, 0)</f>
        <v>60</v>
      </c>
    </row>
    <row r="29">
      <c r="A29" s="2">
        <v>28.0</v>
      </c>
      <c r="B29" s="3">
        <v>45994.0</v>
      </c>
      <c r="C29" s="2" t="s">
        <v>53</v>
      </c>
      <c r="D29" s="2" t="s">
        <v>36</v>
      </c>
      <c r="E29" s="2" t="s">
        <v>50</v>
      </c>
      <c r="F29" s="4">
        <f>VLOOKUP(E29, servicos!B:C, 2, 0)</f>
        <v>80</v>
      </c>
      <c r="G29" s="4">
        <f>IFERROR(F29 * VLOOKUP(D29, profissionais!B:D, 3, 0),"")</f>
        <v>32</v>
      </c>
    </row>
    <row r="30">
      <c r="C30" s="2" t="s">
        <v>54</v>
      </c>
      <c r="D30" s="2" t="s">
        <v>14</v>
      </c>
      <c r="E30" s="2" t="s">
        <v>15</v>
      </c>
      <c r="F30" s="4">
        <f>IFERROR(VLOOKUP(E30, servicos!B:C, 2, 0),"")</f>
        <v>450</v>
      </c>
      <c r="G30" s="4">
        <f>IFERROR(F30 * VLOOKUP(D30, profissionais!B:D, 3, 0),"")</f>
        <v>180</v>
      </c>
    </row>
    <row r="31">
      <c r="C31" s="2" t="s">
        <v>55</v>
      </c>
      <c r="D31" s="2" t="s">
        <v>11</v>
      </c>
      <c r="E31" s="4"/>
      <c r="F31" s="4" t="str">
        <f>IFERROR(VLOOKUP(E31, servicos!B:C, 2, 0),"")</f>
        <v/>
      </c>
      <c r="G31" s="4">
        <f>IFERROR(F31 * VLOOKUP(D31, profissionais!B:D, 3, 0),"")</f>
        <v>0</v>
      </c>
    </row>
    <row r="32">
      <c r="C32" s="2" t="s">
        <v>56</v>
      </c>
      <c r="D32" s="4"/>
      <c r="E32" s="4"/>
      <c r="F32" s="4" t="str">
        <f>IFERROR(VLOOKUP(E32, servicos!B:C, 2, 0),"")</f>
        <v/>
      </c>
      <c r="G32" s="4" t="str">
        <f>IFERROR(F32 * VLOOKUP(D32, profissionais!B:D, 3, 0),"")</f>
        <v/>
      </c>
    </row>
    <row r="33">
      <c r="C33" s="2" t="s">
        <v>57</v>
      </c>
      <c r="D33" s="4"/>
      <c r="E33" s="4"/>
      <c r="F33" s="4" t="str">
        <f>IFERROR(VLOOKUP(E33, servicos!B:C, 2, 0),"")</f>
        <v/>
      </c>
      <c r="G33" s="4" t="str">
        <f>IFERROR(F33 * VLOOKUP(D33, profissionais!B:D, 3, 0),"")</f>
        <v/>
      </c>
    </row>
    <row r="34">
      <c r="C34" s="2" t="s">
        <v>58</v>
      </c>
      <c r="D34" s="4"/>
      <c r="E34" s="4"/>
      <c r="F34" s="4" t="str">
        <f>IFERROR(VLOOKUP(E34, servicos!B:C, 2, 0),"")</f>
        <v/>
      </c>
      <c r="G34" s="4" t="str">
        <f>IFERROR(F34 * VLOOKUP(D34, profissionais!B:D, 3, 0),"")</f>
        <v/>
      </c>
    </row>
    <row r="35">
      <c r="C35" s="2" t="s">
        <v>59</v>
      </c>
      <c r="D35" s="4"/>
      <c r="E35" s="4"/>
      <c r="F35" s="4" t="str">
        <f>IFERROR(VLOOKUP(E35, servicos!B:C, 2, 0),"")</f>
        <v/>
      </c>
      <c r="G35" s="4" t="str">
        <f>IFERROR(F35 * VLOOKUP(D35, profissionais!B:D, 3, 0),"")</f>
        <v/>
      </c>
    </row>
    <row r="36">
      <c r="C36" s="2" t="s">
        <v>60</v>
      </c>
      <c r="D36" s="4"/>
      <c r="E36" s="4"/>
      <c r="F36" s="4" t="str">
        <f>IFERROR(VLOOKUP(E36, servicos!B:C, 2, 0),"")</f>
        <v/>
      </c>
      <c r="G36" s="4" t="str">
        <f>IFERROR(F36 * VLOOKUP(D36, profissionais!B:D, 3, 0),"")</f>
        <v/>
      </c>
    </row>
    <row r="37">
      <c r="C37" s="2" t="s">
        <v>61</v>
      </c>
      <c r="D37" s="4"/>
      <c r="E37" s="4"/>
      <c r="F37" s="4" t="str">
        <f>IFERROR(VLOOKUP(E37, servicos!B:C, 2, 0),"")</f>
        <v/>
      </c>
      <c r="G37" s="4" t="str">
        <f>IFERROR(F37 * VLOOKUP(D37, profissionais!B:D, 3, 0),"")</f>
        <v/>
      </c>
    </row>
    <row r="38">
      <c r="C38" s="2" t="s">
        <v>62</v>
      </c>
      <c r="D38" s="4"/>
      <c r="E38" s="4"/>
      <c r="F38" s="4" t="str">
        <f>IFERROR(VLOOKUP(E38, servicos!B:C, 2, 0),"")</f>
        <v/>
      </c>
      <c r="G38" s="4" t="str">
        <f>IFERROR(F38 * VLOOKUP(D38, profissionais!B:D, 3, 0),"")</f>
        <v/>
      </c>
    </row>
    <row r="39">
      <c r="C39" s="2" t="s">
        <v>63</v>
      </c>
      <c r="D39" s="4"/>
      <c r="E39" s="4"/>
      <c r="F39" s="4" t="str">
        <f>IFERROR(VLOOKUP(E39, servicos!B:C, 2, 0),"")</f>
        <v/>
      </c>
      <c r="G39" s="4" t="str">
        <f>IFERROR(F39 * VLOOKUP(D39, profissionais!B:D, 3, 0),"")</f>
        <v/>
      </c>
    </row>
    <row r="40">
      <c r="C40" s="2" t="s">
        <v>64</v>
      </c>
      <c r="D40" s="4"/>
      <c r="E40" s="4"/>
      <c r="F40" s="4" t="str">
        <f>IFERROR(VLOOKUP(E40, servicos!B:C, 2, 0),"")</f>
        <v/>
      </c>
      <c r="G40" s="4" t="str">
        <f>IFERROR(F40 * VLOOKUP(D40, profissionais!B:D, 3, 0),"")</f>
        <v/>
      </c>
    </row>
    <row r="41">
      <c r="C41" s="2" t="s">
        <v>65</v>
      </c>
      <c r="D41" s="4"/>
      <c r="E41" s="4"/>
      <c r="F41" s="4" t="str">
        <f>IFERROR(VLOOKUP(E41, servicos!B:C, 2, 0),"")</f>
        <v/>
      </c>
      <c r="G41" s="4" t="str">
        <f>IFERROR(F41 * VLOOKUP(D41, profissionais!B:D, 3, 0),"")</f>
        <v/>
      </c>
    </row>
    <row r="42">
      <c r="C42" s="2" t="s">
        <v>66</v>
      </c>
      <c r="D42" s="4"/>
      <c r="E42" s="4"/>
      <c r="F42" s="4" t="str">
        <f>IFERROR(VLOOKUP(E42, servicos!B:C, 2, 0),"")</f>
        <v/>
      </c>
      <c r="G42" s="4" t="str">
        <f>IFERROR(F42 * VLOOKUP(D42, profissionais!B:D, 3, 0),"")</f>
        <v/>
      </c>
    </row>
    <row r="43">
      <c r="C43" s="2" t="s">
        <v>67</v>
      </c>
      <c r="D43" s="4"/>
      <c r="E43" s="4"/>
      <c r="F43" s="4" t="str">
        <f>IFERROR(VLOOKUP(E43, servicos!B:C, 2, 0),"")</f>
        <v/>
      </c>
      <c r="G43" s="4" t="str">
        <f>IFERROR(F43 * VLOOKUP(D43, profissionais!B:D, 3, 0),"")</f>
        <v/>
      </c>
    </row>
    <row r="44">
      <c r="C44" s="2" t="s">
        <v>68</v>
      </c>
      <c r="D44" s="4"/>
      <c r="E44" s="4"/>
      <c r="F44" s="4" t="str">
        <f>IFERROR(VLOOKUP(E44, servicos!B:C, 2, 0),"")</f>
        <v/>
      </c>
      <c r="G44" s="4" t="str">
        <f>IFERROR(F44 * VLOOKUP(D44, profissionais!B:D, 3, 0),"")</f>
        <v/>
      </c>
    </row>
    <row r="45">
      <c r="C45" s="2" t="s">
        <v>69</v>
      </c>
      <c r="D45" s="4"/>
      <c r="E45" s="4"/>
      <c r="F45" s="4" t="str">
        <f>IFERROR(VLOOKUP(E45, servicos!B:C, 2, 0),"")</f>
        <v/>
      </c>
      <c r="G45" s="4" t="str">
        <f>IFERROR(F45 * VLOOKUP(D45, profissionais!B:D, 3, 0),"")</f>
        <v/>
      </c>
    </row>
    <row r="46">
      <c r="D46" s="4"/>
      <c r="E46" s="4"/>
      <c r="F46" s="4" t="str">
        <f>IFERROR(VLOOKUP(E46, servicos!B:C, 2, 0),"")</f>
        <v/>
      </c>
      <c r="G46" s="4" t="str">
        <f>IFERROR(F46 * VLOOKUP(D46, profissionais!B:D, 3, 0),"")</f>
        <v/>
      </c>
    </row>
    <row r="47">
      <c r="D47" s="4"/>
      <c r="E47" s="4"/>
      <c r="F47" s="4" t="str">
        <f>IFERROR(VLOOKUP(E47, servicos!B:C, 2, 0),"")</f>
        <v/>
      </c>
      <c r="G47" s="4" t="str">
        <f>IFERROR(F47 * VLOOKUP(D47, profissionais!B:D, 3, 0),"")</f>
        <v/>
      </c>
    </row>
    <row r="48">
      <c r="D48" s="4"/>
      <c r="E48" s="4"/>
      <c r="F48" s="4" t="str">
        <f>IFERROR(VLOOKUP(E48, servicos!B:C, 2, 0),"")</f>
        <v/>
      </c>
      <c r="G48" s="4" t="str">
        <f>IFERROR(F48 * VLOOKUP(D48, profissionais!B:D, 3, 0),"")</f>
        <v/>
      </c>
    </row>
    <row r="49">
      <c r="D49" s="4"/>
      <c r="E49" s="4"/>
      <c r="F49" s="4" t="str">
        <f>IFERROR(VLOOKUP(E49, servicos!B:C, 2, 0),"")</f>
        <v/>
      </c>
      <c r="G49" s="4" t="str">
        <f>IFERROR(F49 * VLOOKUP(D49, profissionais!B:D, 3, 0),"")</f>
        <v/>
      </c>
    </row>
    <row r="50">
      <c r="D50" s="4"/>
      <c r="E50" s="4"/>
      <c r="F50" s="4" t="str">
        <f>IFERROR(VLOOKUP(E50, servicos!B:C, 2, 0),"")</f>
        <v/>
      </c>
      <c r="G50" s="4" t="str">
        <f>IFERROR(F50 * VLOOKUP(D50, profissionais!B:D, 3, 0),"")</f>
        <v/>
      </c>
    </row>
    <row r="51">
      <c r="D51" s="4"/>
      <c r="E51" s="4"/>
      <c r="F51" s="4" t="str">
        <f>IFERROR(VLOOKUP(E51, servicos!B:C, 2, 0),"")</f>
        <v/>
      </c>
      <c r="G51" s="4" t="str">
        <f>IFERROR(F51 * VLOOKUP(D51, profissionais!B:D, 3, 0),"")</f>
        <v/>
      </c>
    </row>
    <row r="52">
      <c r="D52" s="4"/>
      <c r="E52" s="4"/>
      <c r="F52" s="4" t="str">
        <f>IFERROR(VLOOKUP(E52, servicos!B:C, 2, 0),"")</f>
        <v/>
      </c>
      <c r="G52" s="4" t="str">
        <f>IFERROR(F52 * VLOOKUP(D52, profissionais!B:D, 3, 0),"")</f>
        <v/>
      </c>
    </row>
    <row r="53">
      <c r="D53" s="4"/>
      <c r="E53" s="4"/>
      <c r="F53" s="4" t="str">
        <f>IFERROR(VLOOKUP(E53, servicos!B:C, 2, 0),"")</f>
        <v/>
      </c>
      <c r="G53" s="4" t="str">
        <f>IFERROR(F53 * VLOOKUP(D53, profissionais!B:D, 3, 0),"")</f>
        <v/>
      </c>
    </row>
    <row r="54">
      <c r="D54" s="4"/>
      <c r="E54" s="4"/>
      <c r="F54" s="4" t="str">
        <f>IFERROR(VLOOKUP(E54, servicos!B:C, 2, 0),"")</f>
        <v/>
      </c>
      <c r="G54" s="4" t="str">
        <f>IFERROR(F54 * VLOOKUP(D54, profissionais!B:D, 3, 0),"")</f>
        <v/>
      </c>
    </row>
    <row r="55">
      <c r="D55" s="4"/>
      <c r="E55" s="4"/>
      <c r="F55" s="4" t="str">
        <f>IFERROR(VLOOKUP(E55, servicos!B:C, 2, 0),"")</f>
        <v/>
      </c>
      <c r="G55" s="4" t="str">
        <f>IFERROR(F55 * VLOOKUP(D55, profissionais!B:D, 3, 0),"")</f>
        <v/>
      </c>
    </row>
    <row r="56">
      <c r="D56" s="4"/>
      <c r="E56" s="4"/>
      <c r="F56" s="4" t="str">
        <f>IFERROR(VLOOKUP(E56, servicos!B:C, 2, 0),"")</f>
        <v/>
      </c>
      <c r="G56" s="4" t="str">
        <f>IFERROR(F56 * VLOOKUP(D56, profissionais!B:D, 3, 0),"")</f>
        <v/>
      </c>
    </row>
    <row r="57">
      <c r="D57" s="4"/>
      <c r="E57" s="4"/>
      <c r="F57" s="4" t="str">
        <f>IFERROR(VLOOKUP(E57, servicos!B:C, 2, 0),"")</f>
        <v/>
      </c>
      <c r="G57" s="4" t="str">
        <f>IFERROR(F57 * VLOOKUP(D57, profissionais!B:D, 3, 0),"")</f>
        <v/>
      </c>
    </row>
    <row r="58">
      <c r="D58" s="4"/>
      <c r="E58" s="4"/>
      <c r="F58" s="4" t="str">
        <f>IFERROR(VLOOKUP(E58, servicos!B:C, 2, 0),"")</f>
        <v/>
      </c>
      <c r="G58" s="4" t="str">
        <f>IFERROR(F58 * VLOOKUP(D58, profissionais!B:D, 3, 0),"")</f>
        <v/>
      </c>
    </row>
    <row r="59">
      <c r="D59" s="4"/>
      <c r="E59" s="4"/>
      <c r="F59" s="4" t="str">
        <f>IFERROR(VLOOKUP(E59, servicos!B:C, 2, 0),"")</f>
        <v/>
      </c>
      <c r="G59" s="4" t="str">
        <f>IFERROR(F59 * VLOOKUP(D59, profissionais!B:D, 3, 0),"")</f>
        <v/>
      </c>
    </row>
    <row r="60">
      <c r="D60" s="4"/>
      <c r="E60" s="4"/>
      <c r="F60" s="4" t="str">
        <f>IFERROR(VLOOKUP(E60, servicos!B:C, 2, 0),"")</f>
        <v/>
      </c>
      <c r="G60" s="4" t="str">
        <f>IFERROR(F60 * VLOOKUP(D60, profissionais!B:D, 3, 0),"")</f>
        <v/>
      </c>
    </row>
    <row r="61">
      <c r="D61" s="4"/>
      <c r="E61" s="4"/>
      <c r="F61" s="4" t="str">
        <f>IFERROR(VLOOKUP(E61, servicos!B:C, 2, 0),"")</f>
        <v/>
      </c>
      <c r="G61" s="4" t="str">
        <f>IFERROR(F61 * VLOOKUP(D61, profissionais!B:D, 3, 0),"")</f>
        <v/>
      </c>
    </row>
    <row r="62">
      <c r="D62" s="4"/>
      <c r="E62" s="4"/>
      <c r="F62" s="4" t="str">
        <f>IFERROR(VLOOKUP(E62, servicos!B:C, 2, 0),"")</f>
        <v/>
      </c>
      <c r="G62" s="4" t="str">
        <f>IFERROR(F62 * VLOOKUP(D62, profissionais!B:D, 3, 0),"")</f>
        <v/>
      </c>
    </row>
    <row r="63">
      <c r="D63" s="4"/>
      <c r="E63" s="4"/>
      <c r="F63" s="4" t="str">
        <f>IFERROR(VLOOKUP(E63, servicos!B:C, 2, 0),"")</f>
        <v/>
      </c>
      <c r="G63" s="4" t="str">
        <f>IFERROR(F63 * VLOOKUP(D63, profissionais!B:D, 3, 0),"")</f>
        <v/>
      </c>
    </row>
    <row r="64">
      <c r="D64" s="4"/>
      <c r="E64" s="4"/>
      <c r="F64" s="4" t="str">
        <f>IFERROR(VLOOKUP(E64, servicos!B:C, 2, 0),"")</f>
        <v/>
      </c>
      <c r="G64" s="4" t="str">
        <f>IFERROR(F64 * VLOOKUP(D64, profissionais!B:D, 3, 0),"")</f>
        <v/>
      </c>
    </row>
    <row r="65">
      <c r="D65" s="4"/>
      <c r="E65" s="4"/>
      <c r="F65" s="4" t="str">
        <f>IFERROR(VLOOKUP(E65, servicos!B:C, 2, 0),"")</f>
        <v/>
      </c>
      <c r="G65" s="4" t="str">
        <f>IFERROR(F65 * VLOOKUP(D65, profissionais!B:D, 3, 0),"")</f>
        <v/>
      </c>
    </row>
    <row r="66">
      <c r="D66" s="4"/>
      <c r="E66" s="4"/>
      <c r="F66" s="4" t="str">
        <f>IFERROR(VLOOKUP(E66, servicos!B:C, 2, 0),"")</f>
        <v/>
      </c>
      <c r="G66" s="4" t="str">
        <f>IFERROR(F66 * VLOOKUP(D66, profissionais!B:D, 3, 0),"")</f>
        <v/>
      </c>
    </row>
    <row r="67">
      <c r="D67" s="4"/>
      <c r="E67" s="4"/>
      <c r="F67" s="4" t="str">
        <f>IFERROR(VLOOKUP(E67, servicos!B:C, 2, 0),"")</f>
        <v/>
      </c>
      <c r="G67" s="4" t="str">
        <f>IFERROR(F67 * VLOOKUP(D67, profissionais!B:D, 3, 0),"")</f>
        <v/>
      </c>
    </row>
    <row r="68">
      <c r="D68" s="4"/>
      <c r="E68" s="4"/>
      <c r="F68" s="4" t="str">
        <f>IFERROR(VLOOKUP(E68, servicos!B:C, 2, 0),"")</f>
        <v/>
      </c>
      <c r="G68" s="4" t="str">
        <f>IFERROR(F68 * VLOOKUP(D68, profissionais!B:D, 3, 0),"")</f>
        <v/>
      </c>
    </row>
    <row r="69">
      <c r="D69" s="4"/>
      <c r="E69" s="4"/>
      <c r="F69" s="4" t="str">
        <f>IFERROR(VLOOKUP(E69, servicos!B:C, 2, 0),"")</f>
        <v/>
      </c>
      <c r="G69" s="4" t="str">
        <f>IFERROR(F69 * VLOOKUP(D69, profissionais!B:D, 3, 0),"")</f>
        <v/>
      </c>
    </row>
    <row r="70">
      <c r="D70" s="4"/>
      <c r="E70" s="4"/>
      <c r="F70" s="4" t="str">
        <f>IFERROR(VLOOKUP(E70, servicos!B:C, 2, 0),"")</f>
        <v/>
      </c>
      <c r="G70" s="4" t="str">
        <f>IFERROR(F70 * VLOOKUP(D70, profissionais!B:D, 3, 0),"")</f>
        <v/>
      </c>
    </row>
    <row r="71">
      <c r="D71" s="4"/>
      <c r="E71" s="4"/>
      <c r="F71" s="4" t="str">
        <f>IFERROR(VLOOKUP(E71, servicos!B:C, 2, 0),"")</f>
        <v/>
      </c>
      <c r="G71" s="4" t="str">
        <f>IFERROR(F71 * VLOOKUP(D71, profissionais!B:D, 3, 0),"")</f>
        <v/>
      </c>
    </row>
    <row r="72">
      <c r="D72" s="4"/>
      <c r="E72" s="4"/>
      <c r="F72" s="4" t="str">
        <f>IFERROR(VLOOKUP(E72, servicos!B:C, 2, 0),"")</f>
        <v/>
      </c>
      <c r="G72" s="4" t="str">
        <f>IFERROR(F72 * VLOOKUP(D72, profissionais!B:D, 3, 0),"")</f>
        <v/>
      </c>
    </row>
    <row r="73">
      <c r="D73" s="4"/>
      <c r="E73" s="4"/>
      <c r="F73" s="4" t="str">
        <f>IFERROR(VLOOKUP(E73, servicos!B:C, 2, 0),"")</f>
        <v/>
      </c>
      <c r="G73" s="4" t="str">
        <f>IFERROR(F73 * VLOOKUP(D73, profissionais!B:D, 3, 0),"")</f>
        <v/>
      </c>
    </row>
    <row r="74">
      <c r="D74" s="4"/>
      <c r="E74" s="4"/>
      <c r="F74" s="4" t="str">
        <f>IFERROR(VLOOKUP(E74, servicos!B:C, 2, 0),"")</f>
        <v/>
      </c>
      <c r="G74" s="4" t="str">
        <f>IFERROR(F74 * VLOOKUP(D74, profissionais!B:D, 3, 0),"")</f>
        <v/>
      </c>
    </row>
    <row r="75">
      <c r="D75" s="4"/>
      <c r="E75" s="4"/>
      <c r="F75" s="4" t="str">
        <f>IFERROR(VLOOKUP(E75, servicos!B:C, 2, 0),"")</f>
        <v/>
      </c>
      <c r="G75" s="4" t="str">
        <f>IFERROR(F75 * VLOOKUP(D75, profissionais!B:D, 3, 0),"")</f>
        <v/>
      </c>
    </row>
    <row r="76">
      <c r="D76" s="4"/>
      <c r="E76" s="4"/>
      <c r="F76" s="4" t="str">
        <f>IFERROR(VLOOKUP(E76, servicos!B:C, 2, 0),"")</f>
        <v/>
      </c>
      <c r="G76" s="4" t="str">
        <f>IFERROR(F76 * VLOOKUP(D76, profissionais!B:D, 3, 0),"")</f>
        <v/>
      </c>
    </row>
    <row r="77">
      <c r="D77" s="4"/>
      <c r="E77" s="4"/>
      <c r="F77" s="4" t="str">
        <f>IFERROR(VLOOKUP(E77, servicos!B:C, 2, 0),"")</f>
        <v/>
      </c>
      <c r="G77" s="4" t="str">
        <f>IFERROR(F77 * VLOOKUP(D77, profissionais!B:D, 3, 0),"")</f>
        <v/>
      </c>
    </row>
    <row r="78">
      <c r="D78" s="4"/>
      <c r="E78" s="4"/>
      <c r="F78" s="4" t="str">
        <f>IFERROR(VLOOKUP(E78, servicos!B:C, 2, 0),"")</f>
        <v/>
      </c>
      <c r="G78" s="4" t="str">
        <f>IFERROR(F78 * VLOOKUP(D78, profissionais!B:D, 3, 0),"")</f>
        <v/>
      </c>
    </row>
    <row r="79">
      <c r="D79" s="4"/>
      <c r="E79" s="4"/>
      <c r="F79" s="4" t="str">
        <f>IFERROR(VLOOKUP(E79, servicos!B:C, 2, 0),"")</f>
        <v/>
      </c>
      <c r="G79" s="4" t="str">
        <f>IFERROR(F79 * VLOOKUP(D79, profissionais!B:D, 3, 0),"")</f>
        <v/>
      </c>
    </row>
    <row r="80">
      <c r="D80" s="4"/>
      <c r="E80" s="4"/>
      <c r="F80" s="4" t="str">
        <f>IFERROR(VLOOKUP(E80, servicos!B:C, 2, 0),"")</f>
        <v/>
      </c>
      <c r="G80" s="4" t="str">
        <f>IFERROR(F80 * VLOOKUP(D80, profissionais!B:D, 3, 0),"")</f>
        <v/>
      </c>
    </row>
    <row r="81">
      <c r="D81" s="4"/>
      <c r="E81" s="4"/>
      <c r="F81" s="4" t="str">
        <f>IFERROR(VLOOKUP(E81, servicos!B:C, 2, 0),"")</f>
        <v/>
      </c>
      <c r="G81" s="4" t="str">
        <f>IFERROR(F81 * VLOOKUP(D81, profissionais!B:D, 3, 0),"")</f>
        <v/>
      </c>
    </row>
    <row r="82">
      <c r="D82" s="4"/>
      <c r="E82" s="4"/>
      <c r="F82" s="4" t="str">
        <f>IFERROR(VLOOKUP(E82, servicos!B:C, 2, 0),"")</f>
        <v/>
      </c>
      <c r="G82" s="4" t="str">
        <f>IFERROR(F82 * VLOOKUP(D82, profissionais!B:D, 3, 0),"")</f>
        <v/>
      </c>
    </row>
    <row r="83">
      <c r="D83" s="4"/>
      <c r="E83" s="4"/>
      <c r="F83" s="4" t="str">
        <f>IFERROR(VLOOKUP(E83, servicos!B:C, 2, 0),"")</f>
        <v/>
      </c>
      <c r="G83" s="4" t="str">
        <f>IFERROR(F83 * VLOOKUP(D83, profissionais!B:D, 3, 0),"")</f>
        <v/>
      </c>
    </row>
    <row r="84">
      <c r="D84" s="4"/>
      <c r="E84" s="4"/>
      <c r="F84" s="4" t="str">
        <f>IFERROR(VLOOKUP(E84, servicos!B:C, 2, 0),"")</f>
        <v/>
      </c>
      <c r="G84" s="4" t="str">
        <f>IFERROR(F84 * VLOOKUP(D84, profissionais!B:D, 3, 0),"")</f>
        <v/>
      </c>
    </row>
    <row r="85">
      <c r="D85" s="4"/>
      <c r="E85" s="4"/>
      <c r="F85" s="4" t="str">
        <f>IFERROR(VLOOKUP(E85, servicos!B:C, 2, 0),"")</f>
        <v/>
      </c>
      <c r="G85" s="4" t="str">
        <f>IFERROR(F85 * VLOOKUP(D85, profissionais!B:D, 3, 0),"")</f>
        <v/>
      </c>
    </row>
    <row r="86">
      <c r="D86" s="4"/>
      <c r="E86" s="4"/>
      <c r="F86" s="4" t="str">
        <f>IFERROR(VLOOKUP(E86, servicos!B:C, 2, 0),"")</f>
        <v/>
      </c>
      <c r="G86" s="4" t="str">
        <f>IFERROR(F86 * VLOOKUP(D86, profissionais!B:D, 3, 0),"")</f>
        <v/>
      </c>
    </row>
    <row r="87">
      <c r="D87" s="4"/>
      <c r="E87" s="4"/>
      <c r="F87" s="4" t="str">
        <f>IFERROR(VLOOKUP(E87, servicos!B:C, 2, 0),"")</f>
        <v/>
      </c>
      <c r="G87" s="4" t="str">
        <f>IFERROR(F87 * VLOOKUP(D87, profissionais!B:D, 3, 0),"")</f>
        <v/>
      </c>
    </row>
    <row r="88">
      <c r="D88" s="4"/>
      <c r="E88" s="4"/>
      <c r="F88" s="4" t="str">
        <f>IFERROR(VLOOKUP(E88, servicos!B:C, 2, 0),"")</f>
        <v/>
      </c>
      <c r="G88" s="4" t="str">
        <f>IFERROR(F88 * VLOOKUP(D88, profissionais!B:D, 3, 0),"")</f>
        <v/>
      </c>
    </row>
    <row r="89">
      <c r="D89" s="4"/>
      <c r="E89" s="4"/>
      <c r="F89" s="4" t="str">
        <f>IFERROR(VLOOKUP(E89, servicos!B:C, 2, 0),"")</f>
        <v/>
      </c>
      <c r="G89" s="4" t="str">
        <f>IFERROR(F89 * VLOOKUP(D89, profissionais!B:D, 3, 0),"")</f>
        <v/>
      </c>
    </row>
    <row r="90">
      <c r="D90" s="4"/>
      <c r="E90" s="4"/>
      <c r="F90" s="4" t="str">
        <f>IFERROR(VLOOKUP(E90, servicos!B:C, 2, 0),"")</f>
        <v/>
      </c>
      <c r="G90" s="4" t="str">
        <f>IFERROR(F90 * VLOOKUP(D90, profissionais!B:D, 3, 0),"")</f>
        <v/>
      </c>
    </row>
    <row r="91">
      <c r="D91" s="4"/>
      <c r="E91" s="4"/>
      <c r="F91" s="4" t="str">
        <f>IFERROR(VLOOKUP(E91, servicos!B:C, 2, 0),"")</f>
        <v/>
      </c>
      <c r="G91" s="4" t="str">
        <f>IFERROR(F91 * VLOOKUP(D91, profissionais!B:D, 3, 0),"")</f>
        <v/>
      </c>
    </row>
    <row r="92">
      <c r="D92" s="4"/>
      <c r="E92" s="4"/>
      <c r="F92" s="4" t="str">
        <f>IFERROR(VLOOKUP(E92, servicos!B:C, 2, 0),"")</f>
        <v/>
      </c>
      <c r="G92" s="4" t="str">
        <f>IFERROR(F92 * VLOOKUP(D92, profissionais!B:D, 3, 0),"")</f>
        <v/>
      </c>
    </row>
    <row r="93">
      <c r="D93" s="4"/>
      <c r="E93" s="4"/>
      <c r="F93" s="4" t="str">
        <f>IFERROR(VLOOKUP(E93, servicos!B:C, 2, 0),"")</f>
        <v/>
      </c>
      <c r="G93" s="4" t="str">
        <f>IFERROR(F93 * VLOOKUP(D93, profissionais!B:D, 3, 0),"")</f>
        <v/>
      </c>
    </row>
    <row r="94">
      <c r="D94" s="4"/>
      <c r="E94" s="4"/>
      <c r="F94" s="4" t="str">
        <f>IFERROR(VLOOKUP(E94, servicos!B:C, 2, 0),"")</f>
        <v/>
      </c>
      <c r="G94" s="4" t="str">
        <f>IFERROR(F94 * VLOOKUP(D94, profissionais!B:D, 3, 0),"")</f>
        <v/>
      </c>
    </row>
    <row r="95">
      <c r="D95" s="4"/>
      <c r="E95" s="4"/>
      <c r="F95" s="4" t="str">
        <f>IFERROR(VLOOKUP(E95, servicos!B:C, 2, 0),"")</f>
        <v/>
      </c>
      <c r="G95" s="4" t="str">
        <f>IFERROR(F95 * VLOOKUP(D95, profissionais!B:D, 3, 0),"")</f>
        <v/>
      </c>
    </row>
    <row r="96">
      <c r="D96" s="4"/>
      <c r="E96" s="4"/>
      <c r="F96" s="4" t="str">
        <f>IFERROR(VLOOKUP(E96, servicos!B:C, 2, 0),"")</f>
        <v/>
      </c>
      <c r="G96" s="4" t="str">
        <f>IFERROR(F96 * VLOOKUP(D96, profissionais!B:D, 3, 0),"")</f>
        <v/>
      </c>
    </row>
    <row r="97">
      <c r="D97" s="4"/>
      <c r="E97" s="4"/>
      <c r="F97" s="4" t="str">
        <f>IFERROR(VLOOKUP(E97, servicos!B:C, 2, 0),"")</f>
        <v/>
      </c>
      <c r="G97" s="4" t="str">
        <f>IFERROR(F97 * VLOOKUP(D97, profissionais!B:D, 3, 0),"")</f>
        <v/>
      </c>
    </row>
    <row r="98">
      <c r="D98" s="4"/>
      <c r="E98" s="4"/>
      <c r="F98" s="4" t="str">
        <f>IFERROR(VLOOKUP(E98, servicos!B:C, 2, 0),"")</f>
        <v/>
      </c>
      <c r="G98" s="4" t="str">
        <f>IFERROR(F98 * VLOOKUP(D98, profissionais!B:D, 3, 0),"")</f>
        <v/>
      </c>
    </row>
    <row r="99">
      <c r="D99" s="4"/>
      <c r="E99" s="4"/>
      <c r="F99" s="4" t="str">
        <f>IFERROR(VLOOKUP(E99, servicos!B:C, 2, 0),"")</f>
        <v/>
      </c>
      <c r="G99" s="4" t="str">
        <f>IFERROR(F99 * VLOOKUP(D99, profissionais!B:D, 3, 0),"")</f>
        <v/>
      </c>
    </row>
    <row r="100">
      <c r="D100" s="4"/>
      <c r="E100" s="4"/>
      <c r="F100" s="4" t="str">
        <f>IFERROR(VLOOKUP(E100, servicos!B:C, 2, 0),"")</f>
        <v/>
      </c>
      <c r="G100" s="4" t="str">
        <f>IFERROR(F100 * VLOOKUP(D100, profissionais!B:D, 3, 0),"")</f>
        <v/>
      </c>
    </row>
    <row r="101">
      <c r="D101" s="4"/>
      <c r="E101" s="4"/>
      <c r="F101" s="4" t="str">
        <f>IFERROR(VLOOKUP(E101, servicos!B:C, 2, 0),"")</f>
        <v/>
      </c>
      <c r="G101" s="4" t="str">
        <f>IFERROR(F101 * VLOOKUP(D101, profissionais!B:D, 3, 0),"")</f>
        <v/>
      </c>
    </row>
    <row r="102">
      <c r="D102" s="4"/>
      <c r="E102" s="4"/>
      <c r="F102" s="4" t="str">
        <f>IFERROR(VLOOKUP(E102, servicos!B:C, 2, 0),"")</f>
        <v/>
      </c>
      <c r="G102" s="4" t="str">
        <f>IFERROR(F102 * VLOOKUP(D102, profissionais!B:D, 3, 0),"")</f>
        <v/>
      </c>
    </row>
    <row r="103">
      <c r="D103" s="4"/>
      <c r="E103" s="4"/>
      <c r="F103" s="4" t="str">
        <f>IFERROR(VLOOKUP(E103, servicos!B:C, 2, 0),"")</f>
        <v/>
      </c>
      <c r="G103" s="4" t="str">
        <f>IFERROR(F103 * VLOOKUP(D103, profissionais!B:D, 3, 0),"")</f>
        <v/>
      </c>
    </row>
    <row r="104">
      <c r="D104" s="4"/>
      <c r="E104" s="4"/>
      <c r="F104" s="4" t="str">
        <f>IFERROR(VLOOKUP(E104, servicos!B:C, 2, 0),"")</f>
        <v/>
      </c>
      <c r="G104" s="4" t="str">
        <f>IFERROR(F104 * VLOOKUP(D104, profissionais!B:D, 3, 0),"")</f>
        <v/>
      </c>
    </row>
    <row r="105">
      <c r="D105" s="4"/>
      <c r="E105" s="4"/>
      <c r="F105" s="4" t="str">
        <f>IFERROR(VLOOKUP(E105, servicos!B:C, 2, 0),"")</f>
        <v/>
      </c>
      <c r="G105" s="4" t="str">
        <f>IFERROR(F105 * VLOOKUP(D105, profissionais!B:D, 3, 0),"")</f>
        <v/>
      </c>
    </row>
    <row r="106">
      <c r="D106" s="4"/>
      <c r="E106" s="4"/>
      <c r="F106" s="4" t="str">
        <f>IFERROR(VLOOKUP(E106, servicos!B:C, 2, 0),"")</f>
        <v/>
      </c>
      <c r="G106" s="4" t="str">
        <f>IFERROR(F106 * VLOOKUP(D106, profissionais!B:D, 3, 0),"")</f>
        <v/>
      </c>
    </row>
    <row r="107">
      <c r="D107" s="4"/>
      <c r="E107" s="4"/>
      <c r="F107" s="4" t="str">
        <f>IFERROR(VLOOKUP(E107, servicos!B:C, 2, 0),"")</f>
        <v/>
      </c>
      <c r="G107" s="4" t="str">
        <f>IFERROR(F107 * VLOOKUP(D107, profissionais!B:D, 3, 0),"")</f>
        <v/>
      </c>
    </row>
    <row r="108">
      <c r="D108" s="4"/>
      <c r="E108" s="4"/>
      <c r="F108" s="4" t="str">
        <f>IFERROR(VLOOKUP(E108, servicos!B:C, 2, 0),"")</f>
        <v/>
      </c>
      <c r="G108" s="4" t="str">
        <f>IFERROR(F108 * VLOOKUP(D108, profissionais!B:D, 3, 0),"")</f>
        <v/>
      </c>
    </row>
    <row r="109">
      <c r="D109" s="4"/>
      <c r="E109" s="4"/>
      <c r="F109" s="4" t="str">
        <f>IFERROR(VLOOKUP(E109, servicos!B:C, 2, 0),"")</f>
        <v/>
      </c>
      <c r="G109" s="4" t="str">
        <f>IFERROR(F109 * VLOOKUP(D109, profissionais!B:D, 3, 0),"")</f>
        <v/>
      </c>
    </row>
    <row r="110">
      <c r="D110" s="4"/>
      <c r="E110" s="4"/>
      <c r="F110" s="4" t="str">
        <f>IFERROR(VLOOKUP(E110, servicos!B:C, 2, 0),"")</f>
        <v/>
      </c>
      <c r="G110" s="4" t="str">
        <f>IFERROR(F110 * VLOOKUP(D110, profissionais!B:D, 3, 0),"")</f>
        <v/>
      </c>
    </row>
    <row r="111">
      <c r="D111" s="4"/>
      <c r="E111" s="4"/>
      <c r="F111" s="4" t="str">
        <f>IFERROR(VLOOKUP(E111, servicos!B:C, 2, 0),"")</f>
        <v/>
      </c>
      <c r="G111" s="4" t="str">
        <f>IFERROR(F111 * VLOOKUP(D111, profissionais!B:D, 3, 0),"")</f>
        <v/>
      </c>
    </row>
    <row r="112">
      <c r="D112" s="4"/>
      <c r="E112" s="4"/>
      <c r="F112" s="4" t="str">
        <f>IFERROR(VLOOKUP(E112, servicos!B:C, 2, 0),"")</f>
        <v/>
      </c>
      <c r="G112" s="4" t="str">
        <f>IFERROR(F112 * VLOOKUP(D112, profissionais!B:D, 3, 0),"")</f>
        <v/>
      </c>
    </row>
    <row r="113">
      <c r="D113" s="4"/>
      <c r="E113" s="4"/>
      <c r="F113" s="4" t="str">
        <f>IFERROR(VLOOKUP(E113, servicos!B:C, 2, 0),"")</f>
        <v/>
      </c>
      <c r="G113" s="4" t="str">
        <f>IFERROR(F113 * VLOOKUP(D113, profissionais!B:D, 3, 0),"")</f>
        <v/>
      </c>
    </row>
    <row r="114">
      <c r="D114" s="4"/>
      <c r="E114" s="4"/>
      <c r="F114" s="4" t="str">
        <f>IFERROR(VLOOKUP(E114, servicos!B:C, 2, 0),"")</f>
        <v/>
      </c>
      <c r="G114" s="4" t="str">
        <f>IFERROR(F114 * VLOOKUP(D114, profissionais!B:D, 3, 0),"")</f>
        <v/>
      </c>
    </row>
    <row r="115">
      <c r="D115" s="4"/>
      <c r="E115" s="4"/>
      <c r="F115" s="4" t="str">
        <f>IFERROR(VLOOKUP(E115, servicos!B:C, 2, 0),"")</f>
        <v/>
      </c>
      <c r="G115" s="4" t="str">
        <f>IFERROR(F115 * VLOOKUP(D115, profissionais!B:D, 3, 0),"")</f>
        <v/>
      </c>
    </row>
    <row r="116">
      <c r="D116" s="4"/>
      <c r="E116" s="4"/>
      <c r="F116" s="4" t="str">
        <f>IFERROR(VLOOKUP(E116, servicos!B:C, 2, 0),"")</f>
        <v/>
      </c>
      <c r="G116" s="4" t="str">
        <f>IFERROR(F116 * VLOOKUP(D116, profissionais!B:D, 3, 0),"")</f>
        <v/>
      </c>
    </row>
    <row r="117">
      <c r="D117" s="4"/>
      <c r="E117" s="4"/>
      <c r="F117" s="4" t="str">
        <f>IFERROR(VLOOKUP(E117, servicos!B:C, 2, 0),"")</f>
        <v/>
      </c>
      <c r="G117" s="4" t="str">
        <f>IFERROR(F117 * VLOOKUP(D117, profissionais!B:D, 3, 0),"")</f>
        <v/>
      </c>
    </row>
    <row r="118">
      <c r="D118" s="4"/>
      <c r="E118" s="4"/>
      <c r="F118" s="4" t="str">
        <f>IFERROR(VLOOKUP(E118, servicos!B:C, 2, 0),"")</f>
        <v/>
      </c>
      <c r="G118" s="4" t="str">
        <f>IFERROR(F118 * VLOOKUP(D118, profissionais!B:D, 3, 0),"")</f>
        <v/>
      </c>
    </row>
    <row r="119">
      <c r="D119" s="4"/>
      <c r="E119" s="4"/>
      <c r="F119" s="4" t="str">
        <f>IFERROR(VLOOKUP(E119, servicos!B:C, 2, 0),"")</f>
        <v/>
      </c>
      <c r="G119" s="4" t="str">
        <f>IFERROR(F119 * VLOOKUP(D119, profissionais!B:D, 3, 0),"")</f>
        <v/>
      </c>
    </row>
    <row r="120">
      <c r="D120" s="4"/>
      <c r="E120" s="4"/>
      <c r="F120" s="4" t="str">
        <f>IFERROR(VLOOKUP(E120, servicos!B:C, 2, 0),"")</f>
        <v/>
      </c>
      <c r="G120" s="4" t="str">
        <f>IFERROR(F120 * VLOOKUP(D120, profissionais!B:D, 3, 0),"")</f>
        <v/>
      </c>
    </row>
    <row r="121">
      <c r="D121" s="4"/>
      <c r="E121" s="4"/>
      <c r="F121" s="4" t="str">
        <f>IFERROR(VLOOKUP(E121, servicos!B:C, 2, 0),"")</f>
        <v/>
      </c>
      <c r="G121" s="4" t="str">
        <f>IFERROR(F121 * VLOOKUP(D121, profissionais!B:D, 3, 0),"")</f>
        <v/>
      </c>
    </row>
    <row r="122">
      <c r="D122" s="4"/>
      <c r="E122" s="4"/>
      <c r="F122" s="4" t="str">
        <f>IFERROR(VLOOKUP(E122, servicos!B:C, 2, 0),"")</f>
        <v/>
      </c>
      <c r="G122" s="4" t="str">
        <f>IFERROR(F122 * VLOOKUP(D122, profissionais!B:D, 3, 0),"")</f>
        <v/>
      </c>
    </row>
    <row r="123">
      <c r="D123" s="4"/>
      <c r="E123" s="4"/>
      <c r="F123" s="4" t="str">
        <f>IFERROR(VLOOKUP(E123, servicos!B:C, 2, 0),"")</f>
        <v/>
      </c>
      <c r="G123" s="4" t="str">
        <f>IFERROR(F123 * VLOOKUP(D123, profissionais!B:D, 3, 0),"")</f>
        <v/>
      </c>
    </row>
    <row r="124">
      <c r="D124" s="4"/>
      <c r="E124" s="4"/>
      <c r="F124" s="4" t="str">
        <f>IFERROR(VLOOKUP(E124, servicos!B:C, 2, 0),"")</f>
        <v/>
      </c>
      <c r="G124" s="4" t="str">
        <f>IFERROR(F124 * VLOOKUP(D124, profissionais!B:D, 3, 0),"")</f>
        <v/>
      </c>
    </row>
    <row r="125">
      <c r="D125" s="4"/>
      <c r="E125" s="4"/>
      <c r="F125" s="4" t="str">
        <f>IFERROR(VLOOKUP(E125, servicos!B:C, 2, 0),"")</f>
        <v/>
      </c>
      <c r="G125" s="4" t="str">
        <f>IFERROR(F125 * VLOOKUP(D125, profissionais!B:D, 3, 0),"")</f>
        <v/>
      </c>
    </row>
    <row r="126">
      <c r="D126" s="4"/>
      <c r="E126" s="4"/>
      <c r="F126" s="4" t="str">
        <f>IFERROR(VLOOKUP(E126, servicos!B:C, 2, 0),"")</f>
        <v/>
      </c>
      <c r="G126" s="4" t="str">
        <f>IFERROR(F126 * VLOOKUP(D126, profissionais!B:D, 3, 0),"")</f>
        <v/>
      </c>
    </row>
    <row r="127">
      <c r="D127" s="4"/>
      <c r="E127" s="4"/>
      <c r="F127" s="4" t="str">
        <f>IFERROR(VLOOKUP(E127, servicos!B:C, 2, 0),"")</f>
        <v/>
      </c>
      <c r="G127" s="4" t="str">
        <f>IFERROR(F127 * VLOOKUP(D127, profissionais!B:D, 3, 0),"")</f>
        <v/>
      </c>
    </row>
    <row r="128">
      <c r="D128" s="4"/>
      <c r="E128" s="4"/>
      <c r="F128" s="4" t="str">
        <f>IFERROR(VLOOKUP(E128, servicos!B:C, 2, 0),"")</f>
        <v/>
      </c>
      <c r="G128" s="4" t="str">
        <f>IFERROR(F128 * VLOOKUP(D128, profissionais!B:D, 3, 0),"")</f>
        <v/>
      </c>
    </row>
    <row r="129">
      <c r="D129" s="4"/>
      <c r="E129" s="4"/>
      <c r="F129" s="4" t="str">
        <f>IFERROR(VLOOKUP(E129, servicos!B:C, 2, 0),"")</f>
        <v/>
      </c>
      <c r="G129" s="4" t="str">
        <f>IFERROR(F129 * VLOOKUP(D129, profissionais!B:D, 3, 0),"")</f>
        <v/>
      </c>
    </row>
    <row r="130">
      <c r="D130" s="4"/>
      <c r="E130" s="4"/>
      <c r="F130" s="4" t="str">
        <f>IFERROR(VLOOKUP(E130, servicos!B:C, 2, 0),"")</f>
        <v/>
      </c>
      <c r="G130" s="4" t="str">
        <f>IFERROR(F130 * VLOOKUP(D130, profissionais!B:D, 3, 0),"")</f>
        <v/>
      </c>
    </row>
    <row r="131">
      <c r="D131" s="4"/>
      <c r="E131" s="4"/>
      <c r="F131" s="4" t="str">
        <f>IFERROR(VLOOKUP(E131, servicos!B:C, 2, 0),"")</f>
        <v/>
      </c>
      <c r="G131" s="4" t="str">
        <f>IFERROR(F131 * VLOOKUP(D131, profissionais!B:D, 3, 0),"")</f>
        <v/>
      </c>
    </row>
    <row r="132">
      <c r="D132" s="4"/>
      <c r="E132" s="4"/>
      <c r="F132" s="4" t="str">
        <f>IFERROR(VLOOKUP(E132, servicos!B:C, 2, 0),"")</f>
        <v/>
      </c>
      <c r="G132" s="4" t="str">
        <f>IFERROR(F132 * VLOOKUP(D132, profissionais!B:D, 3, 0),"")</f>
        <v/>
      </c>
    </row>
    <row r="133">
      <c r="D133" s="4"/>
      <c r="E133" s="4"/>
      <c r="F133" s="4" t="str">
        <f>IFERROR(VLOOKUP(E133, servicos!B:C, 2, 0),"")</f>
        <v/>
      </c>
      <c r="G133" s="4" t="str">
        <f>IFERROR(F133 * VLOOKUP(D133, profissionais!B:D, 3, 0),"")</f>
        <v/>
      </c>
    </row>
    <row r="134">
      <c r="D134" s="4"/>
      <c r="E134" s="4"/>
      <c r="F134" s="4" t="str">
        <f>IFERROR(VLOOKUP(E134, servicos!B:C, 2, 0),"")</f>
        <v/>
      </c>
      <c r="G134" s="4" t="str">
        <f>IFERROR(F134 * VLOOKUP(D134, profissionais!B:D, 3, 0),"")</f>
        <v/>
      </c>
    </row>
    <row r="135">
      <c r="D135" s="4"/>
      <c r="E135" s="4"/>
      <c r="F135" s="4" t="str">
        <f>IFERROR(VLOOKUP(E135, servicos!B:C, 2, 0),"")</f>
        <v/>
      </c>
      <c r="G135" s="4" t="str">
        <f>IFERROR(F135 * VLOOKUP(D135, profissionais!B:D, 3, 0),"")</f>
        <v/>
      </c>
    </row>
    <row r="136">
      <c r="D136" s="4"/>
      <c r="E136" s="4"/>
      <c r="F136" s="4" t="str">
        <f>IFERROR(VLOOKUP(E136, servicos!B:C, 2, 0),"")</f>
        <v/>
      </c>
      <c r="G136" s="4" t="str">
        <f>IFERROR(F136 * VLOOKUP(D136, profissionais!B:D, 3, 0),"")</f>
        <v/>
      </c>
    </row>
    <row r="137">
      <c r="D137" s="4"/>
      <c r="E137" s="4"/>
      <c r="F137" s="4" t="str">
        <f>IFERROR(VLOOKUP(E137, servicos!B:C, 2, 0),"")</f>
        <v/>
      </c>
      <c r="G137" s="4" t="str">
        <f>IFERROR(F137 * VLOOKUP(D137, profissionais!B:D, 3, 0),"")</f>
        <v/>
      </c>
    </row>
    <row r="138">
      <c r="D138" s="4"/>
      <c r="E138" s="4"/>
      <c r="F138" s="4" t="str">
        <f>IFERROR(VLOOKUP(E138, servicos!B:C, 2, 0),"")</f>
        <v/>
      </c>
      <c r="G138" s="4" t="str">
        <f>IFERROR(F138 * VLOOKUP(D138, profissionais!B:D, 3, 0),"")</f>
        <v/>
      </c>
    </row>
    <row r="139">
      <c r="D139" s="4"/>
      <c r="E139" s="4"/>
      <c r="F139" s="4" t="str">
        <f>IFERROR(VLOOKUP(E139, servicos!B:C, 2, 0),"")</f>
        <v/>
      </c>
      <c r="G139" s="4" t="str">
        <f>IFERROR(F139 * VLOOKUP(D139, profissionais!B:D, 3, 0),"")</f>
        <v/>
      </c>
    </row>
    <row r="140">
      <c r="D140" s="4"/>
      <c r="E140" s="4"/>
      <c r="F140" s="4" t="str">
        <f>IFERROR(VLOOKUP(E140, servicos!B:C, 2, 0),"")</f>
        <v/>
      </c>
      <c r="G140" s="4" t="str">
        <f>IFERROR(F140 * VLOOKUP(D140, profissionais!B:D, 3, 0),"")</f>
        <v/>
      </c>
    </row>
    <row r="141">
      <c r="D141" s="4"/>
      <c r="E141" s="4"/>
      <c r="F141" s="4" t="str">
        <f>IFERROR(VLOOKUP(E141, servicos!B:C, 2, 0),"")</f>
        <v/>
      </c>
      <c r="G141" s="4" t="str">
        <f>IFERROR(F141 * VLOOKUP(D141, profissionais!B:D, 3, 0),"")</f>
        <v/>
      </c>
    </row>
    <row r="142">
      <c r="D142" s="4"/>
      <c r="E142" s="4"/>
      <c r="F142" s="4" t="str">
        <f>IFERROR(VLOOKUP(E142, servicos!B:C, 2, 0),"")</f>
        <v/>
      </c>
      <c r="G142" s="4" t="str">
        <f>IFERROR(F142 * VLOOKUP(D142, profissionais!B:D, 3, 0),"")</f>
        <v/>
      </c>
    </row>
    <row r="143">
      <c r="D143" s="4"/>
      <c r="E143" s="4"/>
      <c r="F143" s="4" t="str">
        <f>IFERROR(VLOOKUP(E143, servicos!B:C, 2, 0),"")</f>
        <v/>
      </c>
      <c r="G143" s="4" t="str">
        <f>IFERROR(F143 * VLOOKUP(D143, profissionais!B:D, 3, 0),"")</f>
        <v/>
      </c>
    </row>
    <row r="144">
      <c r="D144" s="4"/>
      <c r="E144" s="4"/>
      <c r="F144" s="4" t="str">
        <f>IFERROR(VLOOKUP(E144, servicos!B:C, 2, 0),"")</f>
        <v/>
      </c>
      <c r="G144" s="4" t="str">
        <f>IFERROR(F144 * VLOOKUP(D144, profissionais!B:D, 3, 0),"")</f>
        <v/>
      </c>
    </row>
    <row r="145">
      <c r="D145" s="4"/>
      <c r="E145" s="4"/>
      <c r="F145" s="4" t="str">
        <f>IFERROR(VLOOKUP(E145, servicos!B:C, 2, 0),"")</f>
        <v/>
      </c>
      <c r="G145" s="4" t="str">
        <f>IFERROR(F145 * VLOOKUP(D145, profissionais!B:D, 3, 0),"")</f>
        <v/>
      </c>
    </row>
    <row r="146">
      <c r="D146" s="4"/>
      <c r="E146" s="4"/>
      <c r="F146" s="4" t="str">
        <f>IFERROR(VLOOKUP(E146, servicos!B:C, 2, 0),"")</f>
        <v/>
      </c>
      <c r="G146" s="4" t="str">
        <f>IFERROR(F146 * VLOOKUP(D146, profissionais!B:D, 3, 0),"")</f>
        <v/>
      </c>
    </row>
    <row r="147">
      <c r="D147" s="4"/>
      <c r="E147" s="4"/>
      <c r="F147" s="4" t="str">
        <f>IFERROR(VLOOKUP(E147, servicos!B:C, 2, 0),"")</f>
        <v/>
      </c>
      <c r="G147" s="4" t="str">
        <f>IFERROR(F147 * VLOOKUP(D147, profissionais!B:D, 3, 0),"")</f>
        <v/>
      </c>
    </row>
    <row r="148">
      <c r="D148" s="4"/>
      <c r="E148" s="4"/>
      <c r="F148" s="4" t="str">
        <f>IFERROR(VLOOKUP(E148, servicos!B:C, 2, 0),"")</f>
        <v/>
      </c>
      <c r="G148" s="4" t="str">
        <f>IFERROR(F148 * VLOOKUP(D148, profissionais!B:D, 3, 0),"")</f>
        <v/>
      </c>
    </row>
    <row r="149">
      <c r="D149" s="4"/>
      <c r="E149" s="4"/>
      <c r="F149" s="4" t="str">
        <f>IFERROR(VLOOKUP(E149, servicos!B:C, 2, 0),"")</f>
        <v/>
      </c>
      <c r="G149" s="4" t="str">
        <f>IFERROR(F149 * VLOOKUP(D149, profissionais!B:D, 3, 0),"")</f>
        <v/>
      </c>
    </row>
    <row r="150">
      <c r="D150" s="4"/>
      <c r="E150" s="4"/>
      <c r="F150" s="4" t="str">
        <f>IFERROR(VLOOKUP(E150, servicos!B:C, 2, 0),"")</f>
        <v/>
      </c>
      <c r="G150" s="4" t="str">
        <f>IFERROR(F150 * VLOOKUP(D150, profissionais!B:D, 3, 0),"")</f>
        <v/>
      </c>
    </row>
    <row r="151">
      <c r="D151" s="4"/>
      <c r="E151" s="4"/>
      <c r="F151" s="4" t="str">
        <f>IFERROR(VLOOKUP(E151, servicos!B:C, 2, 0),"")</f>
        <v/>
      </c>
      <c r="G151" s="4" t="str">
        <f>IFERROR(F151 * VLOOKUP(D151, profissionais!B:D, 3, 0),"")</f>
        <v/>
      </c>
    </row>
    <row r="152">
      <c r="D152" s="4"/>
      <c r="E152" s="4"/>
      <c r="F152" s="4" t="str">
        <f>IFERROR(VLOOKUP(E152, servicos!B:C, 2, 0),"")</f>
        <v/>
      </c>
      <c r="G152" s="4" t="str">
        <f>IFERROR(F152 * VLOOKUP(D152, profissionais!B:D, 3, 0),"")</f>
        <v/>
      </c>
    </row>
    <row r="153">
      <c r="D153" s="4"/>
      <c r="E153" s="4"/>
      <c r="F153" s="4" t="str">
        <f>IFERROR(VLOOKUP(E153, servicos!B:C, 2, 0),"")</f>
        <v/>
      </c>
      <c r="G153" s="4" t="str">
        <f>IFERROR(F153 * VLOOKUP(D153, profissionais!B:D, 3, 0),"")</f>
        <v/>
      </c>
    </row>
    <row r="154">
      <c r="D154" s="4"/>
      <c r="E154" s="4"/>
      <c r="F154" s="4" t="str">
        <f>IFERROR(VLOOKUP(E154, servicos!B:C, 2, 0),"")</f>
        <v/>
      </c>
      <c r="G154" s="4" t="str">
        <f>IFERROR(F154 * VLOOKUP(D154, profissionais!B:D, 3, 0),"")</f>
        <v/>
      </c>
    </row>
    <row r="155">
      <c r="D155" s="4"/>
      <c r="E155" s="4"/>
      <c r="F155" s="4" t="str">
        <f>IFERROR(VLOOKUP(E155, servicos!B:C, 2, 0),"")</f>
        <v/>
      </c>
      <c r="G155" s="4" t="str">
        <f>IFERROR(F155 * VLOOKUP(D155, profissionais!B:D, 3, 0),"")</f>
        <v/>
      </c>
    </row>
    <row r="156">
      <c r="D156" s="4"/>
      <c r="E156" s="4"/>
      <c r="F156" s="4" t="str">
        <f>IFERROR(VLOOKUP(E156, servicos!B:C, 2, 0),"")</f>
        <v/>
      </c>
      <c r="G156" s="4" t="str">
        <f>IFERROR(F156 * VLOOKUP(D156, profissionais!B:D, 3, 0),"")</f>
        <v/>
      </c>
    </row>
    <row r="157">
      <c r="D157" s="4"/>
      <c r="E157" s="4"/>
      <c r="F157" s="4" t="str">
        <f>IFERROR(VLOOKUP(E157, servicos!B:C, 2, 0),"")</f>
        <v/>
      </c>
      <c r="G157" s="4" t="str">
        <f>IFERROR(F157 * VLOOKUP(D157, profissionais!B:D, 3, 0),"")</f>
        <v/>
      </c>
    </row>
    <row r="158">
      <c r="D158" s="4"/>
      <c r="E158" s="4"/>
      <c r="F158" s="4" t="str">
        <f>IFERROR(VLOOKUP(E158, servicos!B:C, 2, 0),"")</f>
        <v/>
      </c>
      <c r="G158" s="4" t="str">
        <f>IFERROR(F158 * VLOOKUP(D158, profissionais!B:D, 3, 0),"")</f>
        <v/>
      </c>
    </row>
    <row r="159">
      <c r="D159" s="4"/>
      <c r="E159" s="4"/>
      <c r="F159" s="4" t="str">
        <f>IFERROR(VLOOKUP(E159, servicos!B:C, 2, 0),"")</f>
        <v/>
      </c>
      <c r="G159" s="4" t="str">
        <f>IFERROR(F159 * VLOOKUP(D159, profissionais!B:D, 3, 0),"")</f>
        <v/>
      </c>
    </row>
    <row r="160">
      <c r="D160" s="4"/>
      <c r="E160" s="4"/>
      <c r="F160" s="4" t="str">
        <f>IFERROR(VLOOKUP(E160, servicos!B:C, 2, 0),"")</f>
        <v/>
      </c>
      <c r="G160" s="4" t="str">
        <f>IFERROR(F160 * VLOOKUP(D160, profissionais!B:D, 3, 0),"")</f>
        <v/>
      </c>
    </row>
    <row r="161">
      <c r="D161" s="4"/>
      <c r="E161" s="4"/>
      <c r="F161" s="4" t="str">
        <f>IFERROR(VLOOKUP(E161, servicos!B:C, 2, 0),"")</f>
        <v/>
      </c>
      <c r="G161" s="4" t="str">
        <f>IFERROR(F161 * VLOOKUP(D161, profissionais!B:D, 3, 0),"")</f>
        <v/>
      </c>
    </row>
    <row r="162">
      <c r="D162" s="4"/>
      <c r="E162" s="4"/>
      <c r="F162" s="4" t="str">
        <f>IFERROR(VLOOKUP(E162, servicos!B:C, 2, 0),"")</f>
        <v/>
      </c>
      <c r="G162" s="4" t="str">
        <f>IFERROR(F162 * VLOOKUP(D162, profissionais!B:D, 3, 0),"")</f>
        <v/>
      </c>
    </row>
    <row r="163">
      <c r="D163" s="4"/>
      <c r="E163" s="4"/>
      <c r="F163" s="4" t="str">
        <f>IFERROR(VLOOKUP(E163, servicos!B:C, 2, 0),"")</f>
        <v/>
      </c>
      <c r="G163" s="4" t="str">
        <f>IFERROR(F163 * VLOOKUP(D163, profissionais!B:D, 3, 0),"")</f>
        <v/>
      </c>
    </row>
    <row r="164">
      <c r="D164" s="4"/>
      <c r="E164" s="4"/>
      <c r="F164" s="4" t="str">
        <f>IFERROR(VLOOKUP(E164, servicos!B:C, 2, 0),"")</f>
        <v/>
      </c>
      <c r="G164" s="4" t="str">
        <f>IFERROR(F164 * VLOOKUP(D164, profissionais!B:D, 3, 0),"")</f>
        <v/>
      </c>
    </row>
    <row r="165">
      <c r="D165" s="4"/>
      <c r="E165" s="4"/>
      <c r="F165" s="4" t="str">
        <f>IFERROR(VLOOKUP(E165, servicos!B:C, 2, 0),"")</f>
        <v/>
      </c>
      <c r="G165" s="4" t="str">
        <f>IFERROR(F165 * VLOOKUP(D165, profissionais!B:D, 3, 0),"")</f>
        <v/>
      </c>
    </row>
    <row r="166">
      <c r="D166" s="4"/>
      <c r="E166" s="4"/>
      <c r="F166" s="4" t="str">
        <f>IFERROR(VLOOKUP(E166, servicos!B:C, 2, 0),"")</f>
        <v/>
      </c>
      <c r="G166" s="4" t="str">
        <f>IFERROR(F166 * VLOOKUP(D166, profissionais!B:D, 3, 0),"")</f>
        <v/>
      </c>
    </row>
    <row r="167">
      <c r="D167" s="4"/>
      <c r="E167" s="4"/>
      <c r="F167" s="4" t="str">
        <f>IFERROR(VLOOKUP(E167, servicos!B:C, 2, 0),"")</f>
        <v/>
      </c>
      <c r="G167" s="4" t="str">
        <f>IFERROR(F167 * VLOOKUP(D167, profissionais!B:D, 3, 0),"")</f>
        <v/>
      </c>
    </row>
    <row r="168">
      <c r="D168" s="4"/>
      <c r="E168" s="4"/>
      <c r="F168" s="4" t="str">
        <f>IFERROR(VLOOKUP(E168, servicos!B:C, 2, 0),"")</f>
        <v/>
      </c>
      <c r="G168" s="4" t="str">
        <f>IFERROR(F168 * VLOOKUP(D168, profissionais!B:D, 3, 0),"")</f>
        <v/>
      </c>
    </row>
    <row r="169">
      <c r="D169" s="4"/>
      <c r="E169" s="4"/>
      <c r="F169" s="4" t="str">
        <f>IFERROR(VLOOKUP(E169, servicos!B:C, 2, 0),"")</f>
        <v/>
      </c>
      <c r="G169" s="4" t="str">
        <f>IFERROR(F169 * VLOOKUP(D169, profissionais!B:D, 3, 0),"")</f>
        <v/>
      </c>
    </row>
    <row r="170">
      <c r="D170" s="4"/>
      <c r="E170" s="4"/>
      <c r="F170" s="4" t="str">
        <f>IFERROR(VLOOKUP(E170, servicos!B:C, 2, 0),"")</f>
        <v/>
      </c>
      <c r="G170" s="4" t="str">
        <f>IFERROR(F170 * VLOOKUP(D170, profissionais!B:D, 3, 0),"")</f>
        <v/>
      </c>
    </row>
    <row r="171">
      <c r="D171" s="4"/>
      <c r="E171" s="4"/>
      <c r="F171" s="4" t="str">
        <f>IFERROR(VLOOKUP(E171, servicos!B:C, 2, 0),"")</f>
        <v/>
      </c>
      <c r="G171" s="4" t="str">
        <f>IFERROR(F171 * VLOOKUP(D171, profissionais!B:D, 3, 0),"")</f>
        <v/>
      </c>
    </row>
    <row r="172">
      <c r="D172" s="4"/>
      <c r="E172" s="4"/>
      <c r="F172" s="4" t="str">
        <f>IFERROR(VLOOKUP(E172, servicos!B:C, 2, 0),"")</f>
        <v/>
      </c>
      <c r="G172" s="4" t="str">
        <f>IFERROR(F172 * VLOOKUP(D172, profissionais!B:D, 3, 0),"")</f>
        <v/>
      </c>
    </row>
    <row r="173">
      <c r="D173" s="4"/>
      <c r="E173" s="4"/>
      <c r="F173" s="4" t="str">
        <f>IFERROR(VLOOKUP(E173, servicos!B:C, 2, 0),"")</f>
        <v/>
      </c>
      <c r="G173" s="4" t="str">
        <f>IFERROR(F173 * VLOOKUP(D173, profissionais!B:D, 3, 0),"")</f>
        <v/>
      </c>
    </row>
    <row r="174">
      <c r="D174" s="4"/>
      <c r="E174" s="4"/>
      <c r="F174" s="4" t="str">
        <f>IFERROR(VLOOKUP(E174, servicos!B:C, 2, 0),"")</f>
        <v/>
      </c>
      <c r="G174" s="4" t="str">
        <f>IFERROR(F174 * VLOOKUP(D174, profissionais!B:D, 3, 0),"")</f>
        <v/>
      </c>
    </row>
    <row r="175">
      <c r="D175" s="4"/>
      <c r="E175" s="4"/>
      <c r="F175" s="4" t="str">
        <f>IFERROR(VLOOKUP(E175, servicos!B:C, 2, 0),"")</f>
        <v/>
      </c>
      <c r="G175" s="4" t="str">
        <f>IFERROR(F175 * VLOOKUP(D175, profissionais!B:D, 3, 0),"")</f>
        <v/>
      </c>
    </row>
    <row r="176">
      <c r="D176" s="4"/>
      <c r="E176" s="4"/>
      <c r="F176" s="4" t="str">
        <f>IFERROR(VLOOKUP(E176, servicos!B:C, 2, 0),"")</f>
        <v/>
      </c>
      <c r="G176" s="4" t="str">
        <f>IFERROR(F176 * VLOOKUP(D176, profissionais!B:D, 3, 0),"")</f>
        <v/>
      </c>
    </row>
    <row r="177">
      <c r="D177" s="4"/>
      <c r="E177" s="4"/>
      <c r="F177" s="4" t="str">
        <f>IFERROR(VLOOKUP(E177, servicos!B:C, 2, 0),"")</f>
        <v/>
      </c>
      <c r="G177" s="4" t="str">
        <f>IFERROR(F177 * VLOOKUP(D177, profissionais!B:D, 3, 0),"")</f>
        <v/>
      </c>
    </row>
    <row r="178">
      <c r="D178" s="4"/>
      <c r="E178" s="4"/>
      <c r="F178" s="4" t="str">
        <f>IFERROR(VLOOKUP(E178, servicos!B:C, 2, 0),"")</f>
        <v/>
      </c>
      <c r="G178" s="4" t="str">
        <f>IFERROR(F178 * VLOOKUP(D178, profissionais!B:D, 3, 0),"")</f>
        <v/>
      </c>
    </row>
    <row r="179">
      <c r="D179" s="4"/>
      <c r="E179" s="4"/>
      <c r="F179" s="4" t="str">
        <f>IFERROR(VLOOKUP(E179, servicos!B:C, 2, 0),"")</f>
        <v/>
      </c>
      <c r="G179" s="4" t="str">
        <f>IFERROR(F179 * VLOOKUP(D179, profissionais!B:D, 3, 0),"")</f>
        <v/>
      </c>
    </row>
    <row r="180">
      <c r="D180" s="4"/>
      <c r="E180" s="4"/>
      <c r="F180" s="4" t="str">
        <f>IFERROR(VLOOKUP(E180, servicos!B:C, 2, 0),"")</f>
        <v/>
      </c>
      <c r="G180" s="4" t="str">
        <f>IFERROR(F180 * VLOOKUP(D180, profissionais!B:D, 3, 0),"")</f>
        <v/>
      </c>
    </row>
    <row r="181">
      <c r="D181" s="4"/>
      <c r="E181" s="4"/>
      <c r="F181" s="4" t="str">
        <f>IFERROR(VLOOKUP(E181, servicos!B:C, 2, 0),"")</f>
        <v/>
      </c>
      <c r="G181" s="4" t="str">
        <f>IFERROR(F181 * VLOOKUP(D181, profissionais!B:D, 3, 0),"")</f>
        <v/>
      </c>
    </row>
    <row r="182">
      <c r="D182" s="4"/>
      <c r="E182" s="4"/>
      <c r="F182" s="4" t="str">
        <f>IFERROR(VLOOKUP(E182, servicos!B:C, 2, 0),"")</f>
        <v/>
      </c>
      <c r="G182" s="4" t="str">
        <f>IFERROR(F182 * VLOOKUP(D182, profissionais!B:D, 3, 0),"")</f>
        <v/>
      </c>
    </row>
    <row r="183">
      <c r="D183" s="4"/>
      <c r="E183" s="4"/>
      <c r="F183" s="4" t="str">
        <f>IFERROR(VLOOKUP(E183, servicos!B:C, 2, 0),"")</f>
        <v/>
      </c>
      <c r="G183" s="4" t="str">
        <f>IFERROR(F183 * VLOOKUP(D183, profissionais!B:D, 3, 0),"")</f>
        <v/>
      </c>
    </row>
    <row r="184">
      <c r="D184" s="4"/>
      <c r="E184" s="4"/>
      <c r="F184" s="4" t="str">
        <f>IFERROR(VLOOKUP(E184, servicos!B:C, 2, 0),"")</f>
        <v/>
      </c>
      <c r="G184" s="4" t="str">
        <f>IFERROR(F184 * VLOOKUP(D184, profissionais!B:D, 3, 0),"")</f>
        <v/>
      </c>
    </row>
    <row r="185">
      <c r="D185" s="4"/>
      <c r="E185" s="4"/>
      <c r="F185" s="4" t="str">
        <f>IFERROR(VLOOKUP(E185, servicos!B:C, 2, 0),"")</f>
        <v/>
      </c>
      <c r="G185" s="4" t="str">
        <f>IFERROR(F185 * VLOOKUP(D185, profissionais!B:D, 3, 0),"")</f>
        <v/>
      </c>
    </row>
    <row r="186">
      <c r="D186" s="4"/>
      <c r="E186" s="4"/>
      <c r="F186" s="4" t="str">
        <f>IFERROR(VLOOKUP(E186, servicos!B:C, 2, 0),"")</f>
        <v/>
      </c>
      <c r="G186" s="4" t="str">
        <f>IFERROR(F186 * VLOOKUP(D186, profissionais!B:D, 3, 0),"")</f>
        <v/>
      </c>
    </row>
    <row r="187">
      <c r="D187" s="4"/>
      <c r="E187" s="4"/>
      <c r="F187" s="4" t="str">
        <f>IFERROR(VLOOKUP(E187, servicos!B:C, 2, 0),"")</f>
        <v/>
      </c>
      <c r="G187" s="4" t="str">
        <f>IFERROR(F187 * VLOOKUP(D187, profissionais!B:D, 3, 0),"")</f>
        <v/>
      </c>
    </row>
    <row r="188">
      <c r="D188" s="4"/>
      <c r="E188" s="4"/>
      <c r="F188" s="4" t="str">
        <f>IFERROR(VLOOKUP(E188, servicos!B:C, 2, 0),"")</f>
        <v/>
      </c>
      <c r="G188" s="4" t="str">
        <f>IFERROR(F188 * VLOOKUP(D188, profissionais!B:D, 3, 0),"")</f>
        <v/>
      </c>
    </row>
    <row r="189">
      <c r="D189" s="4"/>
      <c r="E189" s="4"/>
      <c r="F189" s="4" t="str">
        <f>IFERROR(VLOOKUP(E189, servicos!B:C, 2, 0),"")</f>
        <v/>
      </c>
      <c r="G189" s="4" t="str">
        <f>IFERROR(F189 * VLOOKUP(D189, profissionais!B:D, 3, 0),"")</f>
        <v/>
      </c>
    </row>
    <row r="190">
      <c r="D190" s="4"/>
      <c r="E190" s="4"/>
      <c r="F190" s="4" t="str">
        <f>IFERROR(VLOOKUP(E190, servicos!B:C, 2, 0),"")</f>
        <v/>
      </c>
      <c r="G190" s="4" t="str">
        <f>IFERROR(F190 * VLOOKUP(D190, profissionais!B:D, 3, 0),"")</f>
        <v/>
      </c>
    </row>
    <row r="191">
      <c r="D191" s="4"/>
      <c r="E191" s="4"/>
      <c r="F191" s="4" t="str">
        <f>IFERROR(VLOOKUP(E191, servicos!B:C, 2, 0),"")</f>
        <v/>
      </c>
      <c r="G191" s="4" t="str">
        <f>IFERROR(F191 * VLOOKUP(D191, profissionais!B:D, 3, 0),"")</f>
        <v/>
      </c>
    </row>
    <row r="192">
      <c r="D192" s="4"/>
      <c r="E192" s="4"/>
      <c r="F192" s="4" t="str">
        <f>IFERROR(VLOOKUP(E192, servicos!B:C, 2, 0),"")</f>
        <v/>
      </c>
      <c r="G192" s="4" t="str">
        <f>IFERROR(F192 * VLOOKUP(D192, profissionais!B:D, 3, 0),"")</f>
        <v/>
      </c>
    </row>
    <row r="193">
      <c r="D193" s="4"/>
      <c r="E193" s="4"/>
      <c r="F193" s="4" t="str">
        <f>IFERROR(VLOOKUP(E193, servicos!B:C, 2, 0),"")</f>
        <v/>
      </c>
      <c r="G193" s="4" t="str">
        <f>IFERROR(F193 * VLOOKUP(D193, profissionais!B:D, 3, 0),"")</f>
        <v/>
      </c>
    </row>
    <row r="194">
      <c r="D194" s="4"/>
      <c r="E194" s="4"/>
      <c r="F194" s="4" t="str">
        <f>IFERROR(VLOOKUP(E194, servicos!B:C, 2, 0),"")</f>
        <v/>
      </c>
      <c r="G194" s="4" t="str">
        <f>IFERROR(F194 * VLOOKUP(D194, profissionais!B:D, 3, 0),"")</f>
        <v/>
      </c>
    </row>
    <row r="195">
      <c r="D195" s="4"/>
      <c r="E195" s="4"/>
      <c r="F195" s="4" t="str">
        <f>IFERROR(VLOOKUP(E195, servicos!B:C, 2, 0),"")</f>
        <v/>
      </c>
      <c r="G195" s="4" t="str">
        <f>IFERROR(F195 * VLOOKUP(D195, profissionais!B:D, 3, 0),"")</f>
        <v/>
      </c>
    </row>
    <row r="196">
      <c r="D196" s="4"/>
      <c r="E196" s="4"/>
      <c r="F196" s="4" t="str">
        <f>IFERROR(VLOOKUP(E196, servicos!B:C, 2, 0),"")</f>
        <v/>
      </c>
      <c r="G196" s="4" t="str">
        <f>IFERROR(F196 * VLOOKUP(D196, profissionais!B:D, 3, 0),"")</f>
        <v/>
      </c>
    </row>
    <row r="197">
      <c r="D197" s="4"/>
      <c r="E197" s="4"/>
      <c r="F197" s="4" t="str">
        <f>IFERROR(VLOOKUP(E197, servicos!B:C, 2, 0),"")</f>
        <v/>
      </c>
      <c r="G197" s="4" t="str">
        <f>IFERROR(F197 * VLOOKUP(D197, profissionais!B:D, 3, 0),"")</f>
        <v/>
      </c>
    </row>
    <row r="198">
      <c r="D198" s="4"/>
      <c r="E198" s="4"/>
      <c r="F198" s="4" t="str">
        <f>IFERROR(VLOOKUP(E198, servicos!B:C, 2, 0),"")</f>
        <v/>
      </c>
      <c r="G198" s="4" t="str">
        <f>IFERROR(F198 * VLOOKUP(D198, profissionais!B:D, 3, 0),"")</f>
        <v/>
      </c>
    </row>
    <row r="199">
      <c r="D199" s="4"/>
      <c r="E199" s="4"/>
      <c r="F199" s="4" t="str">
        <f>IFERROR(VLOOKUP(E199, servicos!B:C, 2, 0),"")</f>
        <v/>
      </c>
      <c r="G199" s="4" t="str">
        <f>IFERROR(F199 * VLOOKUP(D199, profissionais!B:D, 3, 0),"")</f>
        <v/>
      </c>
    </row>
    <row r="200">
      <c r="D200" s="4"/>
      <c r="E200" s="4"/>
      <c r="F200" s="4" t="str">
        <f>IFERROR(VLOOKUP(E200, servicos!B:C, 2, 0),"")</f>
        <v/>
      </c>
      <c r="G200" s="4" t="str">
        <f>IFERROR(F200 * VLOOKUP(D200, profissionais!B:D, 3, 0),"")</f>
        <v/>
      </c>
    </row>
    <row r="201">
      <c r="D201" s="4"/>
      <c r="E201" s="4"/>
      <c r="F201" s="4" t="str">
        <f>IFERROR(VLOOKUP(E201, servicos!B:C, 2, 0),"")</f>
        <v/>
      </c>
      <c r="G201" s="4" t="str">
        <f>IFERROR(F201 * VLOOKUP(D201, profissionais!B:D, 3, 0),"")</f>
        <v/>
      </c>
    </row>
    <row r="202">
      <c r="D202" s="4"/>
      <c r="E202" s="4"/>
      <c r="F202" s="4" t="str">
        <f>IFERROR(VLOOKUP(E202, servicos!B:C, 2, 0),"")</f>
        <v/>
      </c>
      <c r="G202" s="4" t="str">
        <f>IFERROR(F202 * VLOOKUP(D202, profissionais!B:D, 3, 0),"")</f>
        <v/>
      </c>
    </row>
    <row r="203">
      <c r="D203" s="4"/>
      <c r="E203" s="4"/>
      <c r="F203" s="4" t="str">
        <f>IFERROR(VLOOKUP(E203, servicos!B:C, 2, 0),"")</f>
        <v/>
      </c>
      <c r="G203" s="4" t="str">
        <f>IFERROR(F203 * VLOOKUP(D203, profissionais!B:D, 3, 0),"")</f>
        <v/>
      </c>
    </row>
    <row r="204">
      <c r="D204" s="4"/>
      <c r="E204" s="4"/>
      <c r="F204" s="4" t="str">
        <f>IFERROR(VLOOKUP(E204, servicos!B:C, 2, 0),"")</f>
        <v/>
      </c>
      <c r="G204" s="4" t="str">
        <f>IFERROR(F204 * VLOOKUP(D204, profissionais!B:D, 3, 0),"")</f>
        <v/>
      </c>
    </row>
    <row r="205">
      <c r="D205" s="4"/>
      <c r="E205" s="4"/>
      <c r="F205" s="4" t="str">
        <f>IFERROR(VLOOKUP(E205, servicos!B:C, 2, 0),"")</f>
        <v/>
      </c>
      <c r="G205" s="4" t="str">
        <f>IFERROR(F205 * VLOOKUP(D205, profissionais!B:D, 3, 0),"")</f>
        <v/>
      </c>
    </row>
    <row r="206">
      <c r="D206" s="4"/>
      <c r="E206" s="4"/>
      <c r="F206" s="4" t="str">
        <f>IFERROR(VLOOKUP(E206, servicos!B:C, 2, 0),"")</f>
        <v/>
      </c>
      <c r="G206" s="4" t="str">
        <f>IFERROR(F206 * VLOOKUP(D206, profissionais!B:D, 3, 0),"")</f>
        <v/>
      </c>
    </row>
    <row r="207">
      <c r="D207" s="4"/>
      <c r="E207" s="4"/>
      <c r="F207" s="4" t="str">
        <f>IFERROR(VLOOKUP(E207, servicos!B:C, 2, 0),"")</f>
        <v/>
      </c>
      <c r="G207" s="4" t="str">
        <f>IFERROR(F207 * VLOOKUP(D207, profissionais!B:D, 3, 0),"")</f>
        <v/>
      </c>
    </row>
    <row r="208">
      <c r="D208" s="4"/>
      <c r="E208" s="4"/>
      <c r="F208" s="4" t="str">
        <f>IFERROR(VLOOKUP(E208, servicos!B:C, 2, 0),"")</f>
        <v/>
      </c>
      <c r="G208" s="4" t="str">
        <f>IFERROR(F208 * VLOOKUP(D208, profissionais!B:D, 3, 0),"")</f>
        <v/>
      </c>
    </row>
    <row r="209">
      <c r="D209" s="4"/>
      <c r="E209" s="4"/>
      <c r="F209" s="4" t="str">
        <f>IFERROR(VLOOKUP(E209, servicos!B:C, 2, 0),"")</f>
        <v/>
      </c>
      <c r="G209" s="4" t="str">
        <f>IFERROR(F209 * VLOOKUP(D209, profissionais!B:D, 3, 0),"")</f>
        <v/>
      </c>
    </row>
    <row r="210">
      <c r="D210" s="4"/>
      <c r="E210" s="4"/>
      <c r="F210" s="4" t="str">
        <f>IFERROR(VLOOKUP(E210, servicos!B:C, 2, 0),"")</f>
        <v/>
      </c>
      <c r="G210" s="4" t="str">
        <f>IFERROR(F210 * VLOOKUP(D210, profissionais!B:D, 3, 0),"")</f>
        <v/>
      </c>
    </row>
    <row r="211">
      <c r="D211" s="4"/>
      <c r="E211" s="4"/>
      <c r="F211" s="4" t="str">
        <f>IFERROR(VLOOKUP(E211, servicos!B:C, 2, 0),"")</f>
        <v/>
      </c>
      <c r="G211" s="4" t="str">
        <f>IFERROR(F211 * VLOOKUP(D211, profissionais!B:D, 3, 0),"")</f>
        <v/>
      </c>
    </row>
    <row r="212">
      <c r="D212" s="4"/>
      <c r="E212" s="4"/>
      <c r="F212" s="4" t="str">
        <f>IFERROR(VLOOKUP(E212, servicos!B:C, 2, 0),"")</f>
        <v/>
      </c>
      <c r="G212" s="4" t="str">
        <f>IFERROR(F212 * VLOOKUP(D212, profissionais!B:D, 3, 0),"")</f>
        <v/>
      </c>
    </row>
    <row r="213">
      <c r="D213" s="4"/>
      <c r="E213" s="4"/>
      <c r="F213" s="4" t="str">
        <f>IFERROR(VLOOKUP(E213, servicos!B:C, 2, 0),"")</f>
        <v/>
      </c>
      <c r="G213" s="4" t="str">
        <f>IFERROR(F213 * VLOOKUP(D213, profissionais!B:D, 3, 0),"")</f>
        <v/>
      </c>
    </row>
    <row r="214">
      <c r="D214" s="4"/>
      <c r="E214" s="4"/>
      <c r="F214" s="4" t="str">
        <f>IFERROR(VLOOKUP(E214, servicos!B:C, 2, 0),"")</f>
        <v/>
      </c>
      <c r="G214" s="4" t="str">
        <f>IFERROR(F214 * VLOOKUP(D214, profissionais!B:D, 3, 0),"")</f>
        <v/>
      </c>
    </row>
    <row r="215">
      <c r="D215" s="4"/>
      <c r="E215" s="4"/>
      <c r="F215" s="4" t="str">
        <f>IFERROR(VLOOKUP(E215, servicos!B:C, 2, 0),"")</f>
        <v/>
      </c>
      <c r="G215" s="4" t="str">
        <f>IFERROR(F215 * VLOOKUP(D215, profissionais!B:D, 3, 0),"")</f>
        <v/>
      </c>
    </row>
    <row r="216">
      <c r="D216" s="4"/>
      <c r="E216" s="4"/>
      <c r="F216" s="4" t="str">
        <f>IFERROR(VLOOKUP(E216, servicos!B:C, 2, 0),"")</f>
        <v/>
      </c>
      <c r="G216" s="4" t="str">
        <f>IFERROR(F216 * VLOOKUP(D216, profissionais!B:D, 3, 0),"")</f>
        <v/>
      </c>
    </row>
    <row r="217">
      <c r="D217" s="4"/>
      <c r="E217" s="4"/>
      <c r="F217" s="4" t="str">
        <f>IFERROR(VLOOKUP(E217, servicos!B:C, 2, 0),"")</f>
        <v/>
      </c>
      <c r="G217" s="4" t="str">
        <f>IFERROR(F217 * VLOOKUP(D217, profissionais!B:D, 3, 0),"")</f>
        <v/>
      </c>
    </row>
    <row r="218">
      <c r="D218" s="4"/>
      <c r="E218" s="4"/>
      <c r="F218" s="4" t="str">
        <f>IFERROR(VLOOKUP(E218, servicos!B:C, 2, 0),"")</f>
        <v/>
      </c>
      <c r="G218" s="4" t="str">
        <f>IFERROR(F218 * VLOOKUP(D218, profissionais!B:D, 3, 0),"")</f>
        <v/>
      </c>
    </row>
    <row r="219">
      <c r="D219" s="4"/>
      <c r="E219" s="4"/>
      <c r="F219" s="4" t="str">
        <f>IFERROR(VLOOKUP(E219, servicos!B:C, 2, 0),"")</f>
        <v/>
      </c>
      <c r="G219" s="4" t="str">
        <f>IFERROR(F219 * VLOOKUP(D219, profissionais!B:D, 3, 0),"")</f>
        <v/>
      </c>
    </row>
    <row r="220">
      <c r="D220" s="4"/>
      <c r="E220" s="4"/>
      <c r="F220" s="4" t="str">
        <f>IFERROR(VLOOKUP(E220, servicos!B:C, 2, 0),"")</f>
        <v/>
      </c>
      <c r="G220" s="4" t="str">
        <f>IFERROR(F220 * VLOOKUP(D220, profissionais!B:D, 3, 0),"")</f>
        <v/>
      </c>
    </row>
    <row r="221">
      <c r="D221" s="4"/>
      <c r="E221" s="4"/>
      <c r="F221" s="4" t="str">
        <f>IFERROR(VLOOKUP(E221, servicos!B:C, 2, 0),"")</f>
        <v/>
      </c>
      <c r="G221" s="4" t="str">
        <f>IFERROR(F221 * VLOOKUP(D221, profissionais!B:D, 3, 0),"")</f>
        <v/>
      </c>
    </row>
    <row r="222">
      <c r="D222" s="4"/>
      <c r="E222" s="4"/>
      <c r="F222" s="4" t="str">
        <f>IFERROR(VLOOKUP(E222, servicos!B:C, 2, 0),"")</f>
        <v/>
      </c>
      <c r="G222" s="4" t="str">
        <f>IFERROR(F222 * VLOOKUP(D222, profissionais!B:D, 3, 0),"")</f>
        <v/>
      </c>
    </row>
    <row r="223">
      <c r="D223" s="4"/>
      <c r="E223" s="4"/>
      <c r="F223" s="4" t="str">
        <f>IFERROR(VLOOKUP(E223, servicos!B:C, 2, 0),"")</f>
        <v/>
      </c>
      <c r="G223" s="4" t="str">
        <f>IFERROR(F223 * VLOOKUP(D223, profissionais!B:D, 3, 0),"")</f>
        <v/>
      </c>
    </row>
    <row r="224">
      <c r="D224" s="4"/>
      <c r="E224" s="4"/>
      <c r="F224" s="4" t="str">
        <f>IFERROR(VLOOKUP(E224, servicos!B:C, 2, 0),"")</f>
        <v/>
      </c>
      <c r="G224" s="4" t="str">
        <f>IFERROR(F224 * VLOOKUP(D224, profissionais!B:D, 3, 0),"")</f>
        <v/>
      </c>
    </row>
    <row r="225">
      <c r="D225" s="4"/>
      <c r="E225" s="4"/>
      <c r="F225" s="4" t="str">
        <f>IFERROR(VLOOKUP(E225, servicos!B:C, 2, 0),"")</f>
        <v/>
      </c>
      <c r="G225" s="4" t="str">
        <f>IFERROR(F225 * VLOOKUP(D225, profissionais!B:D, 3, 0),"")</f>
        <v/>
      </c>
    </row>
    <row r="226">
      <c r="D226" s="4"/>
      <c r="E226" s="4"/>
      <c r="F226" s="4" t="str">
        <f>IFERROR(VLOOKUP(E226, servicos!B:C, 2, 0),"")</f>
        <v/>
      </c>
      <c r="G226" s="4" t="str">
        <f>IFERROR(F226 * VLOOKUP(D226, profissionais!B:D, 3, 0),"")</f>
        <v/>
      </c>
    </row>
    <row r="227">
      <c r="D227" s="4"/>
      <c r="E227" s="4"/>
      <c r="F227" s="4" t="str">
        <f>IFERROR(VLOOKUP(E227, servicos!B:C, 2, 0),"")</f>
        <v/>
      </c>
      <c r="G227" s="4" t="str">
        <f>IFERROR(F227 * VLOOKUP(D227, profissionais!B:D, 3, 0),"")</f>
        <v/>
      </c>
    </row>
    <row r="228">
      <c r="D228" s="4"/>
      <c r="E228" s="4"/>
      <c r="F228" s="4" t="str">
        <f>IFERROR(VLOOKUP(E228, servicos!B:C, 2, 0),"")</f>
        <v/>
      </c>
      <c r="G228" s="4" t="str">
        <f>IFERROR(F228 * VLOOKUP(D228, profissionais!B:D, 3, 0),"")</f>
        <v/>
      </c>
    </row>
    <row r="229">
      <c r="D229" s="4"/>
      <c r="E229" s="4"/>
      <c r="F229" s="4" t="str">
        <f>IFERROR(VLOOKUP(E229, servicos!B:C, 2, 0),"")</f>
        <v/>
      </c>
      <c r="G229" s="4" t="str">
        <f>IFERROR(F229 * VLOOKUP(D229, profissionais!B:D, 3, 0),"")</f>
        <v/>
      </c>
    </row>
    <row r="230">
      <c r="D230" s="4"/>
      <c r="E230" s="4"/>
      <c r="F230" s="4" t="str">
        <f>IFERROR(VLOOKUP(E230, servicos!B:C, 2, 0),"")</f>
        <v/>
      </c>
      <c r="G230" s="4" t="str">
        <f>IFERROR(F230 * VLOOKUP(D230, profissionais!B:D, 3, 0),"")</f>
        <v/>
      </c>
    </row>
    <row r="231">
      <c r="D231" s="4"/>
      <c r="E231" s="4"/>
      <c r="F231" s="4" t="str">
        <f>IFERROR(VLOOKUP(E231, servicos!B:C, 2, 0),"")</f>
        <v/>
      </c>
      <c r="G231" s="4" t="str">
        <f>IFERROR(F231 * VLOOKUP(D231, profissionais!B:D, 3, 0),"")</f>
        <v/>
      </c>
    </row>
    <row r="232">
      <c r="D232" s="4"/>
      <c r="E232" s="4"/>
      <c r="F232" s="4" t="str">
        <f>IFERROR(VLOOKUP(E232, servicos!B:C, 2, 0),"")</f>
        <v/>
      </c>
      <c r="G232" s="4" t="str">
        <f>IFERROR(F232 * VLOOKUP(D232, profissionais!B:D, 3, 0),"")</f>
        <v/>
      </c>
    </row>
    <row r="233">
      <c r="D233" s="4"/>
      <c r="E233" s="4"/>
      <c r="F233" s="4" t="str">
        <f>IFERROR(VLOOKUP(E233, servicos!B:C, 2, 0),"")</f>
        <v/>
      </c>
      <c r="G233" s="4" t="str">
        <f>IFERROR(F233 * VLOOKUP(D233, profissionais!B:D, 3, 0),"")</f>
        <v/>
      </c>
    </row>
    <row r="234">
      <c r="D234" s="4"/>
      <c r="E234" s="4"/>
      <c r="F234" s="4" t="str">
        <f>IFERROR(VLOOKUP(E234, servicos!B:C, 2, 0),"")</f>
        <v/>
      </c>
      <c r="G234" s="4" t="str">
        <f>IFERROR(F234 * VLOOKUP(D234, profissionais!B:D, 3, 0),"")</f>
        <v/>
      </c>
    </row>
    <row r="235">
      <c r="D235" s="4"/>
      <c r="E235" s="4"/>
      <c r="F235" s="4" t="str">
        <f>IFERROR(VLOOKUP(E235, servicos!B:C, 2, 0),"")</f>
        <v/>
      </c>
      <c r="G235" s="4" t="str">
        <f>IFERROR(F235 * VLOOKUP(D235, profissionais!B:D, 3, 0),"")</f>
        <v/>
      </c>
    </row>
    <row r="236">
      <c r="D236" s="4"/>
      <c r="E236" s="4"/>
      <c r="F236" s="4" t="str">
        <f>IFERROR(VLOOKUP(E236, servicos!B:C, 2, 0),"")</f>
        <v/>
      </c>
      <c r="G236" s="4" t="str">
        <f>IFERROR(F236 * VLOOKUP(D236, profissionais!B:D, 3, 0),"")</f>
        <v/>
      </c>
    </row>
    <row r="237">
      <c r="D237" s="4"/>
      <c r="E237" s="4"/>
      <c r="F237" s="4" t="str">
        <f>IFERROR(VLOOKUP(E237, servicos!B:C, 2, 0),"")</f>
        <v/>
      </c>
      <c r="G237" s="4" t="str">
        <f>IFERROR(F237 * VLOOKUP(D237, profissionais!B:D, 3, 0),"")</f>
        <v/>
      </c>
    </row>
    <row r="238">
      <c r="D238" s="4"/>
      <c r="E238" s="4"/>
      <c r="F238" s="4" t="str">
        <f>IFERROR(VLOOKUP(E238, servicos!B:C, 2, 0),"")</f>
        <v/>
      </c>
      <c r="G238" s="4" t="str">
        <f>IFERROR(F238 * VLOOKUP(D238, profissionais!B:D, 3, 0),"")</f>
        <v/>
      </c>
    </row>
    <row r="239">
      <c r="D239" s="4"/>
      <c r="E239" s="4"/>
      <c r="F239" s="4" t="str">
        <f>IFERROR(VLOOKUP(E239, servicos!B:C, 2, 0),"")</f>
        <v/>
      </c>
      <c r="G239" s="4" t="str">
        <f>IFERROR(F239 * VLOOKUP(D239, profissionais!B:D, 3, 0),"")</f>
        <v/>
      </c>
    </row>
    <row r="240">
      <c r="D240" s="4"/>
      <c r="E240" s="4"/>
      <c r="F240" s="4" t="str">
        <f>IFERROR(VLOOKUP(E240, servicos!B:C, 2, 0),"")</f>
        <v/>
      </c>
      <c r="G240" s="4" t="str">
        <f>IFERROR(F240 * VLOOKUP(D240, profissionais!B:D, 3, 0),"")</f>
        <v/>
      </c>
    </row>
    <row r="241">
      <c r="D241" s="4"/>
      <c r="E241" s="4"/>
      <c r="F241" s="4" t="str">
        <f>IFERROR(VLOOKUP(E241, servicos!B:C, 2, 0),"")</f>
        <v/>
      </c>
      <c r="G241" s="4" t="str">
        <f>IFERROR(F241 * VLOOKUP(D241, profissionais!B:D, 3, 0),"")</f>
        <v/>
      </c>
    </row>
    <row r="242">
      <c r="D242" s="4"/>
      <c r="E242" s="4"/>
      <c r="F242" s="4" t="str">
        <f>IFERROR(VLOOKUP(E242, servicos!B:C, 2, 0),"")</f>
        <v/>
      </c>
      <c r="G242" s="4" t="str">
        <f>IFERROR(F242 * VLOOKUP(D242, profissionais!B:D, 3, 0),"")</f>
        <v/>
      </c>
    </row>
    <row r="243">
      <c r="D243" s="4"/>
      <c r="E243" s="4"/>
      <c r="F243" s="4" t="str">
        <f>IFERROR(VLOOKUP(E243, servicos!B:C, 2, 0),"")</f>
        <v/>
      </c>
      <c r="G243" s="4" t="str">
        <f>IFERROR(F243 * VLOOKUP(D243, profissionais!B:D, 3, 0),"")</f>
        <v/>
      </c>
    </row>
    <row r="244">
      <c r="D244" s="4"/>
      <c r="E244" s="4"/>
      <c r="F244" s="4" t="str">
        <f>IFERROR(VLOOKUP(E244, servicos!B:C, 2, 0),"")</f>
        <v/>
      </c>
      <c r="G244" s="4" t="str">
        <f>IFERROR(F244 * VLOOKUP(D244, profissionais!B:D, 3, 0),"")</f>
        <v/>
      </c>
    </row>
    <row r="245">
      <c r="D245" s="4"/>
      <c r="E245" s="4"/>
      <c r="F245" s="4" t="str">
        <f>IFERROR(VLOOKUP(E245, servicos!B:C, 2, 0),"")</f>
        <v/>
      </c>
      <c r="G245" s="4" t="str">
        <f>IFERROR(F245 * VLOOKUP(D245, profissionais!B:D, 3, 0),"")</f>
        <v/>
      </c>
    </row>
    <row r="246">
      <c r="D246" s="4"/>
      <c r="E246" s="4"/>
      <c r="F246" s="4" t="str">
        <f>IFERROR(VLOOKUP(E246, servicos!B:C, 2, 0),"")</f>
        <v/>
      </c>
      <c r="G246" s="4" t="str">
        <f>IFERROR(F246 * VLOOKUP(D246, profissionais!B:D, 3, 0),"")</f>
        <v/>
      </c>
    </row>
    <row r="247">
      <c r="D247" s="4"/>
      <c r="E247" s="4"/>
      <c r="F247" s="4" t="str">
        <f>IFERROR(VLOOKUP(E247, servicos!B:C, 2, 0),"")</f>
        <v/>
      </c>
      <c r="G247" s="4" t="str">
        <f>IFERROR(F247 * VLOOKUP(D247, profissionais!B:D, 3, 0),"")</f>
        <v/>
      </c>
    </row>
    <row r="248">
      <c r="D248" s="4"/>
      <c r="E248" s="4"/>
      <c r="F248" s="4" t="str">
        <f>IFERROR(VLOOKUP(E248, servicos!B:C, 2, 0),"")</f>
        <v/>
      </c>
      <c r="G248" s="4" t="str">
        <f>IFERROR(F248 * VLOOKUP(D248, profissionais!B:D, 3, 0),"")</f>
        <v/>
      </c>
    </row>
    <row r="249">
      <c r="D249" s="4"/>
      <c r="E249" s="4"/>
      <c r="F249" s="4" t="str">
        <f>IFERROR(VLOOKUP(E249, servicos!B:C, 2, 0),"")</f>
        <v/>
      </c>
      <c r="G249" s="4" t="str">
        <f>IFERROR(F249 * VLOOKUP(D249, profissionais!B:D, 3, 0),"")</f>
        <v/>
      </c>
    </row>
    <row r="250">
      <c r="D250" s="4"/>
      <c r="E250" s="4"/>
      <c r="F250" s="4" t="str">
        <f>IFERROR(VLOOKUP(E250, servicos!B:C, 2, 0),"")</f>
        <v/>
      </c>
      <c r="G250" s="4" t="str">
        <f>IFERROR(F250 * VLOOKUP(D250, profissionais!B:D, 3, 0),"")</f>
        <v/>
      </c>
    </row>
    <row r="251">
      <c r="D251" s="4"/>
      <c r="E251" s="4"/>
      <c r="F251" s="4" t="str">
        <f>IFERROR(VLOOKUP(E251, servicos!B:C, 2, 0),"")</f>
        <v/>
      </c>
      <c r="G251" s="4" t="str">
        <f>IFERROR(F251 * VLOOKUP(D251, profissionais!B:D, 3, 0),"")</f>
        <v/>
      </c>
    </row>
    <row r="252">
      <c r="D252" s="4"/>
      <c r="E252" s="4"/>
      <c r="F252" s="4" t="str">
        <f>IFERROR(VLOOKUP(E252, servicos!B:C, 2, 0),"")</f>
        <v/>
      </c>
      <c r="G252" s="4" t="str">
        <f>IFERROR(F252 * VLOOKUP(D252, profissionais!B:D, 3, 0),"")</f>
        <v/>
      </c>
    </row>
    <row r="253">
      <c r="D253" s="4"/>
      <c r="E253" s="4"/>
      <c r="F253" s="4" t="str">
        <f>IFERROR(VLOOKUP(E253, servicos!B:C, 2, 0),"")</f>
        <v/>
      </c>
      <c r="G253" s="4" t="str">
        <f>IFERROR(F253 * VLOOKUP(D253, profissionais!B:D, 3, 0),"")</f>
        <v/>
      </c>
    </row>
    <row r="254">
      <c r="D254" s="4"/>
      <c r="E254" s="4"/>
      <c r="F254" s="4" t="str">
        <f>IFERROR(VLOOKUP(E254, servicos!B:C, 2, 0),"")</f>
        <v/>
      </c>
      <c r="G254" s="4" t="str">
        <f>IFERROR(F254 * VLOOKUP(D254, profissionais!B:D, 3, 0),"")</f>
        <v/>
      </c>
    </row>
    <row r="255">
      <c r="D255" s="4"/>
      <c r="E255" s="4"/>
      <c r="F255" s="4" t="str">
        <f>IFERROR(VLOOKUP(E255, servicos!B:C, 2, 0),"")</f>
        <v/>
      </c>
      <c r="G255" s="4" t="str">
        <f>IFERROR(F255 * VLOOKUP(D255, profissionais!B:D, 3, 0),"")</f>
        <v/>
      </c>
    </row>
    <row r="256">
      <c r="D256" s="4"/>
      <c r="E256" s="4"/>
      <c r="F256" s="4" t="str">
        <f>IFERROR(VLOOKUP(E256, servicos!B:C, 2, 0),"")</f>
        <v/>
      </c>
      <c r="G256" s="4" t="str">
        <f>IFERROR(F256 * VLOOKUP(D256, profissionais!B:D, 3, 0),"")</f>
        <v/>
      </c>
    </row>
    <row r="257">
      <c r="D257" s="4"/>
      <c r="E257" s="4"/>
      <c r="F257" s="4" t="str">
        <f>IFERROR(VLOOKUP(E257, servicos!B:C, 2, 0),"")</f>
        <v/>
      </c>
      <c r="G257" s="4" t="str">
        <f>IFERROR(F257 * VLOOKUP(D257, profissionais!B:D, 3, 0),"")</f>
        <v/>
      </c>
    </row>
    <row r="258">
      <c r="D258" s="4"/>
      <c r="E258" s="4"/>
      <c r="F258" s="4" t="str">
        <f>IFERROR(VLOOKUP(E258, servicos!B:C, 2, 0),"")</f>
        <v/>
      </c>
      <c r="G258" s="4" t="str">
        <f>IFERROR(F258 * VLOOKUP(D258, profissionais!B:D, 3, 0),"")</f>
        <v/>
      </c>
    </row>
    <row r="259">
      <c r="D259" s="4"/>
      <c r="E259" s="4"/>
      <c r="F259" s="4" t="str">
        <f>IFERROR(VLOOKUP(E259, servicos!B:C, 2, 0),"")</f>
        <v/>
      </c>
      <c r="G259" s="4" t="str">
        <f>IFERROR(F259 * VLOOKUP(D259, profissionais!B:D, 3, 0),"")</f>
        <v/>
      </c>
    </row>
    <row r="260">
      <c r="D260" s="4"/>
      <c r="E260" s="4"/>
      <c r="F260" s="4" t="str">
        <f>IFERROR(VLOOKUP(E260, servicos!B:C, 2, 0),"")</f>
        <v/>
      </c>
      <c r="G260" s="4" t="str">
        <f>IFERROR(F260 * VLOOKUP(D260, profissionais!B:D, 3, 0),"")</f>
        <v/>
      </c>
    </row>
    <row r="261">
      <c r="D261" s="4"/>
      <c r="E261" s="4"/>
      <c r="F261" s="4" t="str">
        <f>IFERROR(VLOOKUP(E261, servicos!B:C, 2, 0),"")</f>
        <v/>
      </c>
      <c r="G261" s="4" t="str">
        <f>IFERROR(F261 * VLOOKUP(D261, profissionais!B:D, 3, 0),"")</f>
        <v/>
      </c>
    </row>
    <row r="262">
      <c r="D262" s="4"/>
      <c r="E262" s="4"/>
      <c r="F262" s="4" t="str">
        <f>IFERROR(VLOOKUP(E262, servicos!B:C, 2, 0),"")</f>
        <v/>
      </c>
      <c r="G262" s="4" t="str">
        <f>IFERROR(F262 * VLOOKUP(D262, profissionais!B:D, 3, 0),"")</f>
        <v/>
      </c>
    </row>
    <row r="263">
      <c r="D263" s="4"/>
      <c r="E263" s="4"/>
      <c r="F263" s="4" t="str">
        <f>IFERROR(VLOOKUP(E263, servicos!B:C, 2, 0),"")</f>
        <v/>
      </c>
      <c r="G263" s="4" t="str">
        <f>IFERROR(F263 * VLOOKUP(D263, profissionais!B:D, 3, 0),"")</f>
        <v/>
      </c>
    </row>
    <row r="264">
      <c r="D264" s="4"/>
      <c r="E264" s="4"/>
      <c r="F264" s="4" t="str">
        <f>IFERROR(VLOOKUP(E264, servicos!B:C, 2, 0),"")</f>
        <v/>
      </c>
      <c r="G264" s="4" t="str">
        <f>IFERROR(F264 * VLOOKUP(D264, profissionais!B:D, 3, 0),"")</f>
        <v/>
      </c>
    </row>
    <row r="265">
      <c r="D265" s="4"/>
      <c r="E265" s="4"/>
      <c r="F265" s="4" t="str">
        <f>IFERROR(VLOOKUP(E265, servicos!B:C, 2, 0),"")</f>
        <v/>
      </c>
      <c r="G265" s="4" t="str">
        <f>IFERROR(F265 * VLOOKUP(D265, profissionais!B:D, 3, 0),"")</f>
        <v/>
      </c>
    </row>
    <row r="266">
      <c r="D266" s="4"/>
      <c r="E266" s="4"/>
      <c r="F266" s="4" t="str">
        <f>IFERROR(VLOOKUP(E266, servicos!B:C, 2, 0),"")</f>
        <v/>
      </c>
      <c r="G266" s="4" t="str">
        <f>IFERROR(F266 * VLOOKUP(D266, profissionais!B:D, 3, 0),"")</f>
        <v/>
      </c>
    </row>
    <row r="267">
      <c r="D267" s="4"/>
      <c r="E267" s="4"/>
      <c r="F267" s="4" t="str">
        <f>IFERROR(VLOOKUP(E267, servicos!B:C, 2, 0),"")</f>
        <v/>
      </c>
      <c r="G267" s="4" t="str">
        <f>IFERROR(F267 * VLOOKUP(D267, profissionais!B:D, 3, 0),"")</f>
        <v/>
      </c>
    </row>
    <row r="268">
      <c r="D268" s="4"/>
      <c r="E268" s="4"/>
      <c r="F268" s="4" t="str">
        <f>IFERROR(VLOOKUP(E268, servicos!B:C, 2, 0),"")</f>
        <v/>
      </c>
      <c r="G268" s="4" t="str">
        <f>IFERROR(F268 * VLOOKUP(D268, profissionais!B:D, 3, 0),"")</f>
        <v/>
      </c>
    </row>
    <row r="269">
      <c r="D269" s="4"/>
      <c r="E269" s="4"/>
      <c r="F269" s="4" t="str">
        <f>IFERROR(VLOOKUP(E269, servicos!B:C, 2, 0),"")</f>
        <v/>
      </c>
      <c r="G269" s="4" t="str">
        <f>IFERROR(F269 * VLOOKUP(D269, profissionais!B:D, 3, 0),"")</f>
        <v/>
      </c>
    </row>
    <row r="270">
      <c r="D270" s="4"/>
      <c r="E270" s="4"/>
      <c r="F270" s="4" t="str">
        <f>IFERROR(VLOOKUP(E270, servicos!B:C, 2, 0),"")</f>
        <v/>
      </c>
      <c r="G270" s="4" t="str">
        <f>IFERROR(F270 * VLOOKUP(D270, profissionais!B:D, 3, 0),"")</f>
        <v/>
      </c>
    </row>
    <row r="271">
      <c r="D271" s="4"/>
      <c r="E271" s="4"/>
      <c r="F271" s="4" t="str">
        <f>IFERROR(VLOOKUP(E271, servicos!B:C, 2, 0),"")</f>
        <v/>
      </c>
      <c r="G271" s="4" t="str">
        <f>IFERROR(F271 * VLOOKUP(D271, profissionais!B:D, 3, 0),"")</f>
        <v/>
      </c>
    </row>
    <row r="272">
      <c r="D272" s="4"/>
      <c r="E272" s="4"/>
      <c r="F272" s="4" t="str">
        <f>IFERROR(VLOOKUP(E272, servicos!B:C, 2, 0),"")</f>
        <v/>
      </c>
      <c r="G272" s="4" t="str">
        <f>IFERROR(F272 * VLOOKUP(D272, profissionais!B:D, 3, 0),"")</f>
        <v/>
      </c>
    </row>
    <row r="273">
      <c r="D273" s="4"/>
      <c r="E273" s="4"/>
      <c r="F273" s="4" t="str">
        <f>IFERROR(VLOOKUP(E273, servicos!B:C, 2, 0),"")</f>
        <v/>
      </c>
      <c r="G273" s="4" t="str">
        <f>IFERROR(F273 * VLOOKUP(D273, profissionais!B:D, 3, 0),"")</f>
        <v/>
      </c>
    </row>
    <row r="274">
      <c r="D274" s="4"/>
      <c r="E274" s="4"/>
      <c r="F274" s="4" t="str">
        <f>IFERROR(VLOOKUP(E274, servicos!B:C, 2, 0),"")</f>
        <v/>
      </c>
      <c r="G274" s="4" t="str">
        <f>IFERROR(F274 * VLOOKUP(D274, profissionais!B:D, 3, 0),"")</f>
        <v/>
      </c>
    </row>
    <row r="275">
      <c r="D275" s="4"/>
      <c r="E275" s="4"/>
      <c r="F275" s="4" t="str">
        <f>IFERROR(VLOOKUP(E275, servicos!B:C, 2, 0),"")</f>
        <v/>
      </c>
      <c r="G275" s="4" t="str">
        <f>IFERROR(F275 * VLOOKUP(D275, profissionais!B:D, 3, 0),"")</f>
        <v/>
      </c>
    </row>
    <row r="276">
      <c r="D276" s="4"/>
      <c r="E276" s="4"/>
      <c r="F276" s="4" t="str">
        <f>IFERROR(VLOOKUP(E276, servicos!B:C, 2, 0),"")</f>
        <v/>
      </c>
      <c r="G276" s="4" t="str">
        <f>IFERROR(F276 * VLOOKUP(D276, profissionais!B:D, 3, 0),"")</f>
        <v/>
      </c>
    </row>
    <row r="277">
      <c r="D277" s="4"/>
      <c r="E277" s="4"/>
      <c r="F277" s="4" t="str">
        <f>IFERROR(VLOOKUP(E277, servicos!B:C, 2, 0),"")</f>
        <v/>
      </c>
      <c r="G277" s="4" t="str">
        <f>IFERROR(F277 * VLOOKUP(D277, profissionais!B:D, 3, 0),"")</f>
        <v/>
      </c>
    </row>
    <row r="278">
      <c r="D278" s="4"/>
      <c r="E278" s="4"/>
      <c r="F278" s="4" t="str">
        <f>IFERROR(VLOOKUP(E278, servicos!B:C, 2, 0),"")</f>
        <v/>
      </c>
      <c r="G278" s="4" t="str">
        <f>IFERROR(F278 * VLOOKUP(D278, profissionais!B:D, 3, 0),"")</f>
        <v/>
      </c>
    </row>
    <row r="279">
      <c r="D279" s="4"/>
      <c r="E279" s="4"/>
      <c r="F279" s="4" t="str">
        <f>IFERROR(VLOOKUP(E279, servicos!B:C, 2, 0),"")</f>
        <v/>
      </c>
      <c r="G279" s="4" t="str">
        <f>IFERROR(F279 * VLOOKUP(D279, profissionais!B:D, 3, 0),"")</f>
        <v/>
      </c>
    </row>
    <row r="280">
      <c r="D280" s="4"/>
      <c r="E280" s="4"/>
      <c r="F280" s="4" t="str">
        <f>IFERROR(VLOOKUP(E280, servicos!B:C, 2, 0),"")</f>
        <v/>
      </c>
      <c r="G280" s="4" t="str">
        <f>IFERROR(F280 * VLOOKUP(D280, profissionais!B:D, 3, 0),"")</f>
        <v/>
      </c>
    </row>
    <row r="281">
      <c r="D281" s="4"/>
      <c r="E281" s="4"/>
      <c r="F281" s="4" t="str">
        <f>IFERROR(VLOOKUP(E281, servicos!B:C, 2, 0),"")</f>
        <v/>
      </c>
      <c r="G281" s="4" t="str">
        <f>IFERROR(F281 * VLOOKUP(D281, profissionais!B:D, 3, 0),"")</f>
        <v/>
      </c>
    </row>
    <row r="282">
      <c r="D282" s="4"/>
      <c r="E282" s="4"/>
      <c r="F282" s="4" t="str">
        <f>IFERROR(VLOOKUP(E282, servicos!B:C, 2, 0),"")</f>
        <v/>
      </c>
      <c r="G282" s="4" t="str">
        <f>IFERROR(F282 * VLOOKUP(D282, profissionais!B:D, 3, 0),"")</f>
        <v/>
      </c>
    </row>
    <row r="283">
      <c r="D283" s="4"/>
      <c r="E283" s="4"/>
      <c r="F283" s="4" t="str">
        <f>IFERROR(VLOOKUP(E283, servicos!B:C, 2, 0),"")</f>
        <v/>
      </c>
      <c r="G283" s="4" t="str">
        <f>IFERROR(F283 * VLOOKUP(D283, profissionais!B:D, 3, 0),"")</f>
        <v/>
      </c>
    </row>
    <row r="284">
      <c r="D284" s="4"/>
      <c r="E284" s="4"/>
      <c r="F284" s="4" t="str">
        <f>IFERROR(VLOOKUP(E284, servicos!B:C, 2, 0),"")</f>
        <v/>
      </c>
      <c r="G284" s="4" t="str">
        <f>IFERROR(F284 * VLOOKUP(D284, profissionais!B:D, 3, 0),"")</f>
        <v/>
      </c>
    </row>
    <row r="285">
      <c r="D285" s="4"/>
      <c r="E285" s="4"/>
      <c r="F285" s="4" t="str">
        <f>IFERROR(VLOOKUP(E285, servicos!B:C, 2, 0),"")</f>
        <v/>
      </c>
      <c r="G285" s="4" t="str">
        <f>IFERROR(F285 * VLOOKUP(D285, profissionais!B:D, 3, 0),"")</f>
        <v/>
      </c>
    </row>
    <row r="286">
      <c r="D286" s="4"/>
      <c r="E286" s="4"/>
      <c r="F286" s="4" t="str">
        <f>IFERROR(VLOOKUP(E286, servicos!B:C, 2, 0),"")</f>
        <v/>
      </c>
      <c r="G286" s="4" t="str">
        <f>IFERROR(F286 * VLOOKUP(D286, profissionais!B:D, 3, 0),"")</f>
        <v/>
      </c>
    </row>
    <row r="287">
      <c r="D287" s="4"/>
      <c r="E287" s="4"/>
      <c r="F287" s="4" t="str">
        <f>IFERROR(VLOOKUP(E287, servicos!B:C, 2, 0),"")</f>
        <v/>
      </c>
      <c r="G287" s="4" t="str">
        <f>IFERROR(F287 * VLOOKUP(D287, profissionais!B:D, 3, 0),"")</f>
        <v/>
      </c>
    </row>
    <row r="288">
      <c r="D288" s="4"/>
      <c r="E288" s="4"/>
      <c r="F288" s="4" t="str">
        <f>IFERROR(VLOOKUP(E288, servicos!B:C, 2, 0),"")</f>
        <v/>
      </c>
      <c r="G288" s="4" t="str">
        <f>IFERROR(F288 * VLOOKUP(D288, profissionais!B:D, 3, 0),"")</f>
        <v/>
      </c>
    </row>
    <row r="289">
      <c r="D289" s="4"/>
      <c r="E289" s="4"/>
      <c r="F289" s="4" t="str">
        <f>IFERROR(VLOOKUP(E289, servicos!B:C, 2, 0),"")</f>
        <v/>
      </c>
      <c r="G289" s="4" t="str">
        <f>IFERROR(F289 * VLOOKUP(D289, profissionais!B:D, 3, 0),"")</f>
        <v/>
      </c>
    </row>
    <row r="290">
      <c r="D290" s="4"/>
      <c r="E290" s="4"/>
      <c r="F290" s="4" t="str">
        <f>IFERROR(VLOOKUP(E290, servicos!B:C, 2, 0),"")</f>
        <v/>
      </c>
      <c r="G290" s="4" t="str">
        <f>IFERROR(F290 * VLOOKUP(D290, profissionais!B:D, 3, 0),"")</f>
        <v/>
      </c>
    </row>
    <row r="291">
      <c r="D291" s="4"/>
      <c r="E291" s="4"/>
      <c r="F291" s="4" t="str">
        <f>IFERROR(VLOOKUP(E291, servicos!B:C, 2, 0),"")</f>
        <v/>
      </c>
      <c r="G291" s="4" t="str">
        <f>IFERROR(F291 * VLOOKUP(D291, profissionais!B:D, 3, 0),"")</f>
        <v/>
      </c>
    </row>
    <row r="292">
      <c r="D292" s="4"/>
      <c r="E292" s="4"/>
      <c r="F292" s="4" t="str">
        <f>IFERROR(VLOOKUP(E292, servicos!B:C, 2, 0),"")</f>
        <v/>
      </c>
      <c r="G292" s="4" t="str">
        <f>IFERROR(F292 * VLOOKUP(D292, profissionais!B:D, 3, 0),"")</f>
        <v/>
      </c>
    </row>
    <row r="293">
      <c r="D293" s="4"/>
      <c r="E293" s="4"/>
      <c r="F293" s="4" t="str">
        <f>IFERROR(VLOOKUP(E293, servicos!B:C, 2, 0),"")</f>
        <v/>
      </c>
      <c r="G293" s="4" t="str">
        <f>IFERROR(F293 * VLOOKUP(D293, profissionais!B:D, 3, 0),"")</f>
        <v/>
      </c>
    </row>
    <row r="294">
      <c r="D294" s="4"/>
      <c r="E294" s="4"/>
      <c r="F294" s="4" t="str">
        <f>IFERROR(VLOOKUP(E294, servicos!B:C, 2, 0),"")</f>
        <v/>
      </c>
      <c r="G294" s="4" t="str">
        <f>IFERROR(F294 * VLOOKUP(D294, profissionais!B:D, 3, 0),"")</f>
        <v/>
      </c>
    </row>
    <row r="295">
      <c r="D295" s="4"/>
      <c r="E295" s="4"/>
      <c r="F295" s="4" t="str">
        <f>IFERROR(VLOOKUP(E295, servicos!B:C, 2, 0),"")</f>
        <v/>
      </c>
      <c r="G295" s="4" t="str">
        <f>IFERROR(F295 * VLOOKUP(D295, profissionais!B:D, 3, 0),"")</f>
        <v/>
      </c>
    </row>
    <row r="296">
      <c r="D296" s="4"/>
      <c r="E296" s="4"/>
      <c r="F296" s="4" t="str">
        <f>IFERROR(VLOOKUP(E296, servicos!B:C, 2, 0),"")</f>
        <v/>
      </c>
      <c r="G296" s="4" t="str">
        <f>IFERROR(F296 * VLOOKUP(D296, profissionais!B:D, 3, 0),"")</f>
        <v/>
      </c>
    </row>
    <row r="297">
      <c r="D297" s="4"/>
      <c r="E297" s="4"/>
      <c r="F297" s="4" t="str">
        <f>IFERROR(VLOOKUP(E297, servicos!B:C, 2, 0),"")</f>
        <v/>
      </c>
      <c r="G297" s="4" t="str">
        <f>IFERROR(F297 * VLOOKUP(D297, profissionais!B:D, 3, 0),"")</f>
        <v/>
      </c>
    </row>
    <row r="298">
      <c r="D298" s="4"/>
      <c r="E298" s="4"/>
      <c r="F298" s="4" t="str">
        <f>IFERROR(VLOOKUP(E298, servicos!B:C, 2, 0),"")</f>
        <v/>
      </c>
      <c r="G298" s="4" t="str">
        <f>IFERROR(F298 * VLOOKUP(D298, profissionais!B:D, 3, 0),"")</f>
        <v/>
      </c>
    </row>
    <row r="299">
      <c r="D299" s="4"/>
      <c r="E299" s="4"/>
      <c r="F299" s="4" t="str">
        <f>IFERROR(VLOOKUP(E299, servicos!B:C, 2, 0),"")</f>
        <v/>
      </c>
      <c r="G299" s="4" t="str">
        <f>IFERROR(F299 * VLOOKUP(D299, profissionais!B:D, 3, 0),"")</f>
        <v/>
      </c>
    </row>
    <row r="300">
      <c r="D300" s="4"/>
      <c r="E300" s="4"/>
      <c r="F300" s="4" t="str">
        <f>IFERROR(VLOOKUP(E300, servicos!B:C, 2, 0),"")</f>
        <v/>
      </c>
      <c r="G300" s="4" t="str">
        <f>IFERROR(F300 * VLOOKUP(D300, profissionais!B:D, 3, 0),"")</f>
        <v/>
      </c>
    </row>
    <row r="301">
      <c r="D301" s="4"/>
      <c r="E301" s="4"/>
      <c r="F301" s="4" t="str">
        <f>IFERROR(VLOOKUP(E301, servicos!B:C, 2, 0),"")</f>
        <v/>
      </c>
      <c r="G301" s="4" t="str">
        <f>IFERROR(F301 * VLOOKUP(D301, profissionais!B:D, 3, 0),"")</f>
        <v/>
      </c>
    </row>
    <row r="302">
      <c r="D302" s="4"/>
      <c r="E302" s="4"/>
      <c r="F302" s="4" t="str">
        <f>IFERROR(VLOOKUP(E302, servicos!B:C, 2, 0),"")</f>
        <v/>
      </c>
      <c r="G302" s="4" t="str">
        <f>IFERROR(F302 * VLOOKUP(D302, profissionais!B:D, 3, 0),"")</f>
        <v/>
      </c>
    </row>
    <row r="303">
      <c r="D303" s="4"/>
      <c r="E303" s="4"/>
      <c r="F303" s="4" t="str">
        <f>IFERROR(VLOOKUP(E303, servicos!B:C, 2, 0),"")</f>
        <v/>
      </c>
      <c r="G303" s="4" t="str">
        <f>IFERROR(F303 * VLOOKUP(D303, profissionais!B:D, 3, 0),"")</f>
        <v/>
      </c>
    </row>
    <row r="304">
      <c r="D304" s="4"/>
      <c r="E304" s="4"/>
      <c r="F304" s="4" t="str">
        <f>IFERROR(VLOOKUP(E304, servicos!B:C, 2, 0),"")</f>
        <v/>
      </c>
      <c r="G304" s="4" t="str">
        <f>IFERROR(F304 * VLOOKUP(D304, profissionais!B:D, 3, 0),"")</f>
        <v/>
      </c>
    </row>
    <row r="305">
      <c r="D305" s="4"/>
      <c r="E305" s="4"/>
      <c r="F305" s="4" t="str">
        <f>IFERROR(VLOOKUP(E305, servicos!B:C, 2, 0),"")</f>
        <v/>
      </c>
      <c r="G305" s="4" t="str">
        <f>IFERROR(F305 * VLOOKUP(D305, profissionais!B:D, 3, 0),"")</f>
        <v/>
      </c>
    </row>
    <row r="306">
      <c r="D306" s="4"/>
      <c r="E306" s="4"/>
      <c r="F306" s="4" t="str">
        <f>IFERROR(VLOOKUP(E306, servicos!B:C, 2, 0),"")</f>
        <v/>
      </c>
      <c r="G306" s="4" t="str">
        <f>IFERROR(F306 * VLOOKUP(D306, profissionais!B:D, 3, 0),"")</f>
        <v/>
      </c>
    </row>
    <row r="307">
      <c r="D307" s="4"/>
      <c r="E307" s="4"/>
      <c r="F307" s="4" t="str">
        <f>IFERROR(VLOOKUP(E307, servicos!B:C, 2, 0),"")</f>
        <v/>
      </c>
      <c r="G307" s="4" t="str">
        <f>IFERROR(F307 * VLOOKUP(D307, profissionais!B:D, 3, 0),"")</f>
        <v/>
      </c>
    </row>
    <row r="308">
      <c r="D308" s="4"/>
      <c r="E308" s="4"/>
      <c r="F308" s="4" t="str">
        <f>IFERROR(VLOOKUP(E308, servicos!B:C, 2, 0),"")</f>
        <v/>
      </c>
      <c r="G308" s="4" t="str">
        <f>IFERROR(F308 * VLOOKUP(D308, profissionais!B:D, 3, 0),"")</f>
        <v/>
      </c>
    </row>
    <row r="309">
      <c r="D309" s="4"/>
      <c r="E309" s="4"/>
      <c r="F309" s="4" t="str">
        <f>IFERROR(VLOOKUP(E309, servicos!B:C, 2, 0),"")</f>
        <v/>
      </c>
      <c r="G309" s="4" t="str">
        <f>IFERROR(F309 * VLOOKUP(D309, profissionais!B:D, 3, 0),"")</f>
        <v/>
      </c>
    </row>
    <row r="310">
      <c r="D310" s="4"/>
      <c r="E310" s="4"/>
      <c r="F310" s="4" t="str">
        <f>IFERROR(VLOOKUP(E310, servicos!B:C, 2, 0),"")</f>
        <v/>
      </c>
      <c r="G310" s="4" t="str">
        <f>IFERROR(F310 * VLOOKUP(D310, profissionais!B:D, 3, 0),"")</f>
        <v/>
      </c>
    </row>
    <row r="311">
      <c r="D311" s="4"/>
      <c r="E311" s="4"/>
      <c r="F311" s="4" t="str">
        <f>IFERROR(VLOOKUP(E311, servicos!B:C, 2, 0),"")</f>
        <v/>
      </c>
      <c r="G311" s="4" t="str">
        <f>IFERROR(F311 * VLOOKUP(D311, profissionais!B:D, 3, 0),"")</f>
        <v/>
      </c>
    </row>
    <row r="312">
      <c r="D312" s="4"/>
      <c r="E312" s="4"/>
      <c r="F312" s="4" t="str">
        <f>IFERROR(VLOOKUP(E312, servicos!B:C, 2, 0),"")</f>
        <v/>
      </c>
      <c r="G312" s="4" t="str">
        <f>IFERROR(F312 * VLOOKUP(D312, profissionais!B:D, 3, 0),"")</f>
        <v/>
      </c>
    </row>
    <row r="313">
      <c r="D313" s="4"/>
      <c r="E313" s="4"/>
      <c r="F313" s="4" t="str">
        <f>IFERROR(VLOOKUP(E313, servicos!B:C, 2, 0),"")</f>
        <v/>
      </c>
      <c r="G313" s="4" t="str">
        <f>IFERROR(F313 * VLOOKUP(D313, profissionais!B:D, 3, 0),"")</f>
        <v/>
      </c>
    </row>
    <row r="314">
      <c r="D314" s="4"/>
      <c r="E314" s="4"/>
      <c r="F314" s="4" t="str">
        <f>IFERROR(VLOOKUP(E314, servicos!B:C, 2, 0),"")</f>
        <v/>
      </c>
      <c r="G314" s="4" t="str">
        <f>IFERROR(F314 * VLOOKUP(D314, profissionais!B:D, 3, 0),"")</f>
        <v/>
      </c>
    </row>
    <row r="315">
      <c r="D315" s="4"/>
      <c r="E315" s="4"/>
      <c r="F315" s="4" t="str">
        <f>IFERROR(VLOOKUP(E315, servicos!B:C, 2, 0),"")</f>
        <v/>
      </c>
      <c r="G315" s="4" t="str">
        <f>IFERROR(F315 * VLOOKUP(D315, profissionais!B:D, 3, 0),"")</f>
        <v/>
      </c>
    </row>
    <row r="316">
      <c r="D316" s="4"/>
      <c r="E316" s="4"/>
      <c r="F316" s="4" t="str">
        <f>IFERROR(VLOOKUP(E316, servicos!B:C, 2, 0),"")</f>
        <v/>
      </c>
      <c r="G316" s="4" t="str">
        <f>IFERROR(F316 * VLOOKUP(D316, profissionais!B:D, 3, 0),"")</f>
        <v/>
      </c>
    </row>
    <row r="317">
      <c r="D317" s="4"/>
      <c r="E317" s="4"/>
      <c r="F317" s="4" t="str">
        <f>IFERROR(VLOOKUP(E317, servicos!B:C, 2, 0),"")</f>
        <v/>
      </c>
      <c r="G317" s="4" t="str">
        <f>IFERROR(F317 * VLOOKUP(D317, profissionais!B:D, 3, 0),"")</f>
        <v/>
      </c>
    </row>
    <row r="318">
      <c r="D318" s="4"/>
      <c r="E318" s="4"/>
      <c r="F318" s="4" t="str">
        <f>IFERROR(VLOOKUP(E318, servicos!B:C, 2, 0),"")</f>
        <v/>
      </c>
      <c r="G318" s="4" t="str">
        <f>IFERROR(F318 * VLOOKUP(D318, profissionais!B:D, 3, 0),"")</f>
        <v/>
      </c>
    </row>
    <row r="319">
      <c r="D319" s="4"/>
      <c r="E319" s="4"/>
      <c r="F319" s="4" t="str">
        <f>IFERROR(VLOOKUP(E319, servicos!B:C, 2, 0),"")</f>
        <v/>
      </c>
      <c r="G319" s="4" t="str">
        <f>IFERROR(F319 * VLOOKUP(D319, profissionais!B:D, 3, 0),"")</f>
        <v/>
      </c>
    </row>
    <row r="320">
      <c r="D320" s="4"/>
      <c r="E320" s="4"/>
      <c r="F320" s="4" t="str">
        <f>IFERROR(VLOOKUP(E320, servicos!B:C, 2, 0),"")</f>
        <v/>
      </c>
      <c r="G320" s="4" t="str">
        <f>IFERROR(F320 * VLOOKUP(D320, profissionais!B:D, 3, 0),"")</f>
        <v/>
      </c>
    </row>
    <row r="321">
      <c r="D321" s="4"/>
      <c r="E321" s="4"/>
      <c r="F321" s="4" t="str">
        <f>IFERROR(VLOOKUP(E321, servicos!B:C, 2, 0),"")</f>
        <v/>
      </c>
      <c r="G321" s="4" t="str">
        <f>IFERROR(F321 * VLOOKUP(D321, profissionais!B:D, 3, 0),"")</f>
        <v/>
      </c>
    </row>
    <row r="322">
      <c r="D322" s="4"/>
      <c r="E322" s="4"/>
      <c r="F322" s="4" t="str">
        <f>IFERROR(VLOOKUP(E322, servicos!B:C, 2, 0),"")</f>
        <v/>
      </c>
      <c r="G322" s="4" t="str">
        <f>IFERROR(F322 * VLOOKUP(D322, profissionais!B:D, 3, 0),"")</f>
        <v/>
      </c>
    </row>
    <row r="323">
      <c r="D323" s="4"/>
      <c r="E323" s="4"/>
      <c r="F323" s="4" t="str">
        <f>IFERROR(VLOOKUP(E323, servicos!B:C, 2, 0),"")</f>
        <v/>
      </c>
      <c r="G323" s="4" t="str">
        <f>IFERROR(F323 * VLOOKUP(D323, profissionais!B:D, 3, 0),"")</f>
        <v/>
      </c>
    </row>
    <row r="324">
      <c r="D324" s="4"/>
      <c r="E324" s="4"/>
      <c r="F324" s="4" t="str">
        <f>IFERROR(VLOOKUP(E324, servicos!B:C, 2, 0),"")</f>
        <v/>
      </c>
      <c r="G324" s="4" t="str">
        <f>IFERROR(F324 * VLOOKUP(D324, profissionais!B:D, 3, 0),"")</f>
        <v/>
      </c>
    </row>
    <row r="325">
      <c r="D325" s="4"/>
      <c r="E325" s="4"/>
      <c r="F325" s="4" t="str">
        <f>IFERROR(VLOOKUP(E325, servicos!B:C, 2, 0),"")</f>
        <v/>
      </c>
      <c r="G325" s="4" t="str">
        <f>IFERROR(F325 * VLOOKUP(D325, profissionais!B:D, 3, 0),"")</f>
        <v/>
      </c>
    </row>
    <row r="326">
      <c r="D326" s="4"/>
      <c r="E326" s="4"/>
      <c r="F326" s="4" t="str">
        <f>IFERROR(VLOOKUP(E326, servicos!B:C, 2, 0),"")</f>
        <v/>
      </c>
      <c r="G326" s="4" t="str">
        <f>IFERROR(F326 * VLOOKUP(D326, profissionais!B:D, 3, 0),"")</f>
        <v/>
      </c>
    </row>
    <row r="327">
      <c r="D327" s="4"/>
      <c r="E327" s="4"/>
      <c r="F327" s="4" t="str">
        <f>IFERROR(VLOOKUP(E327, servicos!B:C, 2, 0),"")</f>
        <v/>
      </c>
      <c r="G327" s="4" t="str">
        <f>IFERROR(F327 * VLOOKUP(D327, profissionais!B:D, 3, 0),"")</f>
        <v/>
      </c>
    </row>
    <row r="328">
      <c r="D328" s="4"/>
      <c r="E328" s="4"/>
      <c r="F328" s="4" t="str">
        <f>IFERROR(VLOOKUP(E328, servicos!B:C, 2, 0),"")</f>
        <v/>
      </c>
      <c r="G328" s="4" t="str">
        <f>IFERROR(F328 * VLOOKUP(D328, profissionais!B:D, 3, 0),"")</f>
        <v/>
      </c>
    </row>
    <row r="329">
      <c r="D329" s="4"/>
      <c r="E329" s="4"/>
      <c r="F329" s="4" t="str">
        <f>IFERROR(VLOOKUP(E329, servicos!B:C, 2, 0),"")</f>
        <v/>
      </c>
      <c r="G329" s="4" t="str">
        <f>IFERROR(F329 * VLOOKUP(D329, profissionais!B:D, 3, 0),"")</f>
        <v/>
      </c>
    </row>
    <row r="330">
      <c r="D330" s="4"/>
      <c r="E330" s="4"/>
      <c r="F330" s="4" t="str">
        <f>IFERROR(VLOOKUP(E330, servicos!B:C, 2, 0),"")</f>
        <v/>
      </c>
      <c r="G330" s="4" t="str">
        <f>IFERROR(F330 * VLOOKUP(D330, profissionais!B:D, 3, 0),"")</f>
        <v/>
      </c>
    </row>
    <row r="331">
      <c r="D331" s="4"/>
      <c r="E331" s="4"/>
      <c r="F331" s="4" t="str">
        <f>IFERROR(VLOOKUP(E331, servicos!B:C, 2, 0),"")</f>
        <v/>
      </c>
      <c r="G331" s="4" t="str">
        <f>IFERROR(F331 * VLOOKUP(D331, profissionais!B:D, 3, 0),"")</f>
        <v/>
      </c>
    </row>
    <row r="332">
      <c r="D332" s="4"/>
      <c r="E332" s="4"/>
      <c r="F332" s="4" t="str">
        <f>IFERROR(VLOOKUP(E332, servicos!B:C, 2, 0),"")</f>
        <v/>
      </c>
      <c r="G332" s="4" t="str">
        <f>IFERROR(F332 * VLOOKUP(D332, profissionais!B:D, 3, 0),"")</f>
        <v/>
      </c>
    </row>
    <row r="333">
      <c r="D333" s="4"/>
      <c r="E333" s="4"/>
      <c r="F333" s="4" t="str">
        <f>IFERROR(VLOOKUP(E333, servicos!B:C, 2, 0),"")</f>
        <v/>
      </c>
      <c r="G333" s="4" t="str">
        <f>IFERROR(F333 * VLOOKUP(D333, profissionais!B:D, 3, 0),"")</f>
        <v/>
      </c>
    </row>
    <row r="334">
      <c r="D334" s="4"/>
      <c r="E334" s="4"/>
      <c r="F334" s="4" t="str">
        <f>IFERROR(VLOOKUP(E334, servicos!B:C, 2, 0),"")</f>
        <v/>
      </c>
      <c r="G334" s="4" t="str">
        <f>IFERROR(F334 * VLOOKUP(D334, profissionais!B:D, 3, 0),"")</f>
        <v/>
      </c>
    </row>
    <row r="335">
      <c r="D335" s="4"/>
      <c r="E335" s="4"/>
      <c r="F335" s="4" t="str">
        <f>IFERROR(VLOOKUP(E335, servicos!B:C, 2, 0),"")</f>
        <v/>
      </c>
      <c r="G335" s="4" t="str">
        <f>IFERROR(F335 * VLOOKUP(D335, profissionais!B:D, 3, 0),"")</f>
        <v/>
      </c>
    </row>
    <row r="336">
      <c r="D336" s="4"/>
      <c r="E336" s="4"/>
      <c r="F336" s="4" t="str">
        <f>IFERROR(VLOOKUP(E336, servicos!B:C, 2, 0),"")</f>
        <v/>
      </c>
      <c r="G336" s="4" t="str">
        <f>IFERROR(F336 * VLOOKUP(D336, profissionais!B:D, 3, 0),"")</f>
        <v/>
      </c>
    </row>
    <row r="337">
      <c r="D337" s="4"/>
      <c r="E337" s="4"/>
      <c r="F337" s="4" t="str">
        <f>IFERROR(VLOOKUP(E337, servicos!B:C, 2, 0),"")</f>
        <v/>
      </c>
      <c r="G337" s="4" t="str">
        <f>IFERROR(F337 * VLOOKUP(D337, profissionais!B:D, 3, 0),"")</f>
        <v/>
      </c>
    </row>
    <row r="338">
      <c r="D338" s="4"/>
      <c r="E338" s="4"/>
      <c r="F338" s="4" t="str">
        <f>IFERROR(VLOOKUP(E338, servicos!B:C, 2, 0),"")</f>
        <v/>
      </c>
      <c r="G338" s="4" t="str">
        <f>IFERROR(F338 * VLOOKUP(D338, profissionais!B:D, 3, 0),"")</f>
        <v/>
      </c>
    </row>
    <row r="339">
      <c r="D339" s="4"/>
      <c r="E339" s="4"/>
      <c r="F339" s="4" t="str">
        <f>IFERROR(VLOOKUP(E339, servicos!B:C, 2, 0),"")</f>
        <v/>
      </c>
      <c r="G339" s="4" t="str">
        <f>IFERROR(F339 * VLOOKUP(D339, profissionais!B:D, 3, 0),"")</f>
        <v/>
      </c>
    </row>
    <row r="340">
      <c r="D340" s="4"/>
      <c r="E340" s="4"/>
      <c r="F340" s="4" t="str">
        <f>IFERROR(VLOOKUP(E340, servicos!B:C, 2, 0),"")</f>
        <v/>
      </c>
      <c r="G340" s="4" t="str">
        <f>IFERROR(F340 * VLOOKUP(D340, profissionais!B:D, 3, 0),"")</f>
        <v/>
      </c>
    </row>
    <row r="341">
      <c r="D341" s="4"/>
      <c r="E341" s="4"/>
      <c r="F341" s="4" t="str">
        <f>IFERROR(VLOOKUP(E341, servicos!B:C, 2, 0),"")</f>
        <v/>
      </c>
      <c r="G341" s="4" t="str">
        <f>IFERROR(F341 * VLOOKUP(D341, profissionais!B:D, 3, 0),"")</f>
        <v/>
      </c>
    </row>
    <row r="342">
      <c r="D342" s="4"/>
      <c r="E342" s="4"/>
      <c r="F342" s="4" t="str">
        <f>IFERROR(VLOOKUP(E342, servicos!B:C, 2, 0),"")</f>
        <v/>
      </c>
      <c r="G342" s="4" t="str">
        <f>IFERROR(F342 * VLOOKUP(D342, profissionais!B:D, 3, 0),"")</f>
        <v/>
      </c>
    </row>
    <row r="343">
      <c r="D343" s="4"/>
      <c r="E343" s="4"/>
      <c r="F343" s="4" t="str">
        <f>IFERROR(VLOOKUP(E343, servicos!B:C, 2, 0),"")</f>
        <v/>
      </c>
      <c r="G343" s="4" t="str">
        <f>IFERROR(F343 * VLOOKUP(D343, profissionais!B:D, 3, 0),"")</f>
        <v/>
      </c>
    </row>
    <row r="344">
      <c r="D344" s="4"/>
      <c r="E344" s="4"/>
      <c r="F344" s="4" t="str">
        <f>IFERROR(VLOOKUP(E344, servicos!B:C, 2, 0),"")</f>
        <v/>
      </c>
      <c r="G344" s="4" t="str">
        <f>IFERROR(F344 * VLOOKUP(D344, profissionais!B:D, 3, 0),"")</f>
        <v/>
      </c>
    </row>
    <row r="345">
      <c r="D345" s="4"/>
      <c r="E345" s="4"/>
      <c r="F345" s="4" t="str">
        <f>IFERROR(VLOOKUP(E345, servicos!B:C, 2, 0),"")</f>
        <v/>
      </c>
      <c r="G345" s="4" t="str">
        <f>IFERROR(F345 * VLOOKUP(D345, profissionais!B:D, 3, 0),"")</f>
        <v/>
      </c>
    </row>
    <row r="346">
      <c r="D346" s="4"/>
      <c r="E346" s="4"/>
      <c r="F346" s="4" t="str">
        <f>IFERROR(VLOOKUP(E346, servicos!B:C, 2, 0),"")</f>
        <v/>
      </c>
      <c r="G346" s="4" t="str">
        <f>IFERROR(F346 * VLOOKUP(D346, profissionais!B:D, 3, 0),"")</f>
        <v/>
      </c>
    </row>
    <row r="347">
      <c r="D347" s="4"/>
      <c r="E347" s="4"/>
      <c r="F347" s="4" t="str">
        <f>IFERROR(VLOOKUP(E347, servicos!B:C, 2, 0),"")</f>
        <v/>
      </c>
      <c r="G347" s="4" t="str">
        <f>IFERROR(F347 * VLOOKUP(D347, profissionais!B:D, 3, 0),"")</f>
        <v/>
      </c>
    </row>
    <row r="348">
      <c r="D348" s="4"/>
      <c r="E348" s="4"/>
      <c r="F348" s="4" t="str">
        <f>IFERROR(VLOOKUP(E348, servicos!B:C, 2, 0),"")</f>
        <v/>
      </c>
      <c r="G348" s="4" t="str">
        <f>IFERROR(F348 * VLOOKUP(D348, profissionais!B:D, 3, 0),"")</f>
        <v/>
      </c>
    </row>
    <row r="349">
      <c r="D349" s="4"/>
      <c r="E349" s="4"/>
      <c r="F349" s="4" t="str">
        <f>IFERROR(VLOOKUP(E349, servicos!B:C, 2, 0),"")</f>
        <v/>
      </c>
      <c r="G349" s="4" t="str">
        <f>IFERROR(F349 * VLOOKUP(D349, profissionais!B:D, 3, 0),"")</f>
        <v/>
      </c>
    </row>
    <row r="350">
      <c r="D350" s="4"/>
      <c r="E350" s="4"/>
      <c r="F350" s="4" t="str">
        <f>IFERROR(VLOOKUP(E350, servicos!B:C, 2, 0),"")</f>
        <v/>
      </c>
      <c r="G350" s="4" t="str">
        <f>IFERROR(F350 * VLOOKUP(D350, profissionais!B:D, 3, 0),"")</f>
        <v/>
      </c>
    </row>
    <row r="351">
      <c r="D351" s="4"/>
      <c r="E351" s="4"/>
      <c r="F351" s="4" t="str">
        <f>IFERROR(VLOOKUP(E351, servicos!B:C, 2, 0),"")</f>
        <v/>
      </c>
      <c r="G351" s="4" t="str">
        <f>IFERROR(F351 * VLOOKUP(D351, profissionais!B:D, 3, 0),"")</f>
        <v/>
      </c>
    </row>
    <row r="352">
      <c r="D352" s="4"/>
      <c r="E352" s="4"/>
      <c r="F352" s="4" t="str">
        <f>IFERROR(VLOOKUP(E352, servicos!B:C, 2, 0),"")</f>
        <v/>
      </c>
      <c r="G352" s="4" t="str">
        <f>IFERROR(F352 * VLOOKUP(D352, profissionais!B:D, 3, 0),"")</f>
        <v/>
      </c>
    </row>
    <row r="353">
      <c r="D353" s="4"/>
      <c r="E353" s="4"/>
      <c r="F353" s="4" t="str">
        <f>IFERROR(VLOOKUP(E353, servicos!B:C, 2, 0),"")</f>
        <v/>
      </c>
      <c r="G353" s="4" t="str">
        <f>IFERROR(F353 * VLOOKUP(D353, profissionais!B:D, 3, 0),"")</f>
        <v/>
      </c>
    </row>
    <row r="354">
      <c r="D354" s="4"/>
      <c r="E354" s="4"/>
      <c r="F354" s="4" t="str">
        <f>IFERROR(VLOOKUP(E354, servicos!B:C, 2, 0),"")</f>
        <v/>
      </c>
      <c r="G354" s="4" t="str">
        <f>IFERROR(F354 * VLOOKUP(D354, profissionais!B:D, 3, 0),"")</f>
        <v/>
      </c>
    </row>
    <row r="355">
      <c r="D355" s="4"/>
      <c r="E355" s="4"/>
      <c r="F355" s="4" t="str">
        <f>IFERROR(VLOOKUP(E355, servicos!B:C, 2, 0),"")</f>
        <v/>
      </c>
      <c r="G355" s="4" t="str">
        <f>IFERROR(F355 * VLOOKUP(D355, profissionais!B:D, 3, 0),"")</f>
        <v/>
      </c>
    </row>
    <row r="356">
      <c r="D356" s="4"/>
      <c r="E356" s="4"/>
      <c r="F356" s="4" t="str">
        <f>IFERROR(VLOOKUP(E356, servicos!B:C, 2, 0),"")</f>
        <v/>
      </c>
      <c r="G356" s="4" t="str">
        <f>IFERROR(F356 * VLOOKUP(D356, profissionais!B:D, 3, 0),"")</f>
        <v/>
      </c>
    </row>
    <row r="357">
      <c r="D357" s="4"/>
      <c r="E357" s="4"/>
      <c r="F357" s="4" t="str">
        <f>IFERROR(VLOOKUP(E357, servicos!B:C, 2, 0),"")</f>
        <v/>
      </c>
      <c r="G357" s="4" t="str">
        <f>IFERROR(F357 * VLOOKUP(D357, profissionais!B:D, 3, 0),"")</f>
        <v/>
      </c>
    </row>
    <row r="358">
      <c r="D358" s="4"/>
      <c r="E358" s="4"/>
      <c r="F358" s="4" t="str">
        <f>IFERROR(VLOOKUP(E358, servicos!B:C, 2, 0),"")</f>
        <v/>
      </c>
      <c r="G358" s="4" t="str">
        <f>IFERROR(F358 * VLOOKUP(D358, profissionais!B:D, 3, 0),"")</f>
        <v/>
      </c>
    </row>
    <row r="359">
      <c r="D359" s="4"/>
      <c r="E359" s="4"/>
      <c r="F359" s="4" t="str">
        <f>IFERROR(VLOOKUP(E359, servicos!B:C, 2, 0),"")</f>
        <v/>
      </c>
      <c r="G359" s="4" t="str">
        <f>IFERROR(F359 * VLOOKUP(D359, profissionais!B:D, 3, 0),"")</f>
        <v/>
      </c>
    </row>
    <row r="360">
      <c r="D360" s="4"/>
      <c r="E360" s="4"/>
      <c r="F360" s="4" t="str">
        <f>IFERROR(VLOOKUP(E360, servicos!B:C, 2, 0),"")</f>
        <v/>
      </c>
      <c r="G360" s="4" t="str">
        <f>IFERROR(F360 * VLOOKUP(D360, profissionais!B:D, 3, 0),"")</f>
        <v/>
      </c>
    </row>
    <row r="361">
      <c r="D361" s="4"/>
      <c r="E361" s="4"/>
      <c r="F361" s="4" t="str">
        <f>IFERROR(VLOOKUP(E361, servicos!B:C, 2, 0),"")</f>
        <v/>
      </c>
      <c r="G361" s="4" t="str">
        <f>IFERROR(F361 * VLOOKUP(D361, profissionais!B:D, 3, 0),"")</f>
        <v/>
      </c>
    </row>
    <row r="362">
      <c r="D362" s="4"/>
      <c r="E362" s="4"/>
      <c r="F362" s="4" t="str">
        <f>IFERROR(VLOOKUP(E362, servicos!B:C, 2, 0),"")</f>
        <v/>
      </c>
      <c r="G362" s="4" t="str">
        <f>IFERROR(F362 * VLOOKUP(D362, profissionais!B:D, 3, 0),"")</f>
        <v/>
      </c>
    </row>
    <row r="363">
      <c r="D363" s="4"/>
      <c r="E363" s="4"/>
      <c r="F363" s="4" t="str">
        <f>IFERROR(VLOOKUP(E363, servicos!B:C, 2, 0),"")</f>
        <v/>
      </c>
      <c r="G363" s="4" t="str">
        <f>IFERROR(F363 * VLOOKUP(D363, profissionais!B:D, 3, 0),"")</f>
        <v/>
      </c>
    </row>
    <row r="364">
      <c r="D364" s="4"/>
      <c r="E364" s="4"/>
      <c r="F364" s="4" t="str">
        <f>IFERROR(VLOOKUP(E364, servicos!B:C, 2, 0),"")</f>
        <v/>
      </c>
      <c r="G364" s="4" t="str">
        <f>IFERROR(F364 * VLOOKUP(D364, profissionais!B:D, 3, 0),"")</f>
        <v/>
      </c>
    </row>
    <row r="365">
      <c r="D365" s="4"/>
      <c r="E365" s="4"/>
      <c r="F365" s="4" t="str">
        <f>IFERROR(VLOOKUP(E365, servicos!B:C, 2, 0),"")</f>
        <v/>
      </c>
      <c r="G365" s="4" t="str">
        <f>IFERROR(F365 * VLOOKUP(D365, profissionais!B:D, 3, 0),"")</f>
        <v/>
      </c>
    </row>
    <row r="366">
      <c r="D366" s="4"/>
      <c r="E366" s="4"/>
      <c r="F366" s="4" t="str">
        <f>IFERROR(VLOOKUP(E366, servicos!B:C, 2, 0),"")</f>
        <v/>
      </c>
      <c r="G366" s="4" t="str">
        <f>IFERROR(F366 * VLOOKUP(D366, profissionais!B:D, 3, 0),"")</f>
        <v/>
      </c>
    </row>
    <row r="367">
      <c r="D367" s="4"/>
      <c r="E367" s="4"/>
      <c r="F367" s="4" t="str">
        <f>IFERROR(VLOOKUP(E367, servicos!B:C, 2, 0),"")</f>
        <v/>
      </c>
      <c r="G367" s="4" t="str">
        <f>IFERROR(F367 * VLOOKUP(D367, profissionais!B:D, 3, 0),"")</f>
        <v/>
      </c>
    </row>
    <row r="368">
      <c r="D368" s="4"/>
      <c r="E368" s="4"/>
      <c r="F368" s="4" t="str">
        <f>IFERROR(VLOOKUP(E368, servicos!B:C, 2, 0),"")</f>
        <v/>
      </c>
      <c r="G368" s="4" t="str">
        <f>IFERROR(F368 * VLOOKUP(D368, profissionais!B:D, 3, 0),"")</f>
        <v/>
      </c>
    </row>
    <row r="369">
      <c r="D369" s="4"/>
      <c r="E369" s="4"/>
      <c r="F369" s="4" t="str">
        <f>IFERROR(VLOOKUP(E369, servicos!B:C, 2, 0),"")</f>
        <v/>
      </c>
      <c r="G369" s="4" t="str">
        <f>IFERROR(F369 * VLOOKUP(D369, profissionais!B:D, 3, 0),"")</f>
        <v/>
      </c>
    </row>
    <row r="370">
      <c r="D370" s="4"/>
      <c r="E370" s="4"/>
      <c r="F370" s="4" t="str">
        <f>IFERROR(VLOOKUP(E370, servicos!B:C, 2, 0),"")</f>
        <v/>
      </c>
      <c r="G370" s="4" t="str">
        <f>IFERROR(F370 * VLOOKUP(D370, profissionais!B:D, 3, 0),"")</f>
        <v/>
      </c>
    </row>
    <row r="371">
      <c r="D371" s="4"/>
      <c r="E371" s="4"/>
      <c r="F371" s="4" t="str">
        <f>IFERROR(VLOOKUP(E371, servicos!B:C, 2, 0),"")</f>
        <v/>
      </c>
      <c r="G371" s="4" t="str">
        <f>IFERROR(F371 * VLOOKUP(D371, profissionais!B:D, 3, 0),"")</f>
        <v/>
      </c>
    </row>
    <row r="372">
      <c r="D372" s="4"/>
      <c r="E372" s="4"/>
      <c r="F372" s="4" t="str">
        <f>IFERROR(VLOOKUP(E372, servicos!B:C, 2, 0),"")</f>
        <v/>
      </c>
      <c r="G372" s="4" t="str">
        <f>IFERROR(F372 * VLOOKUP(D372, profissionais!B:D, 3, 0),"")</f>
        <v/>
      </c>
    </row>
    <row r="373">
      <c r="D373" s="4"/>
      <c r="E373" s="4"/>
      <c r="F373" s="4" t="str">
        <f>IFERROR(VLOOKUP(E373, servicos!B:C, 2, 0),"")</f>
        <v/>
      </c>
      <c r="G373" s="4" t="str">
        <f>IFERROR(F373 * VLOOKUP(D373, profissionais!B:D, 3, 0),"")</f>
        <v/>
      </c>
    </row>
    <row r="374">
      <c r="D374" s="4"/>
      <c r="E374" s="4"/>
      <c r="F374" s="4" t="str">
        <f>IFERROR(VLOOKUP(E374, servicos!B:C, 2, 0),"")</f>
        <v/>
      </c>
      <c r="G374" s="4" t="str">
        <f>IFERROR(F374 * VLOOKUP(D374, profissionais!B:D, 3, 0),"")</f>
        <v/>
      </c>
    </row>
    <row r="375">
      <c r="D375" s="4"/>
      <c r="E375" s="4"/>
      <c r="F375" s="4" t="str">
        <f>IFERROR(VLOOKUP(E375, servicos!B:C, 2, 0),"")</f>
        <v/>
      </c>
      <c r="G375" s="4" t="str">
        <f>IFERROR(F375 * VLOOKUP(D375, profissionais!B:D, 3, 0),"")</f>
        <v/>
      </c>
    </row>
    <row r="376">
      <c r="D376" s="4"/>
      <c r="E376" s="4"/>
      <c r="F376" s="4" t="str">
        <f>IFERROR(VLOOKUP(E376, servicos!B:C, 2, 0),"")</f>
        <v/>
      </c>
      <c r="G376" s="4" t="str">
        <f>IFERROR(F376 * VLOOKUP(D376, profissionais!B:D, 3, 0),"")</f>
        <v/>
      </c>
    </row>
    <row r="377">
      <c r="D377" s="4"/>
      <c r="E377" s="4"/>
      <c r="F377" s="4" t="str">
        <f>IFERROR(VLOOKUP(E377, servicos!B:C, 2, 0),"")</f>
        <v/>
      </c>
      <c r="G377" s="4" t="str">
        <f>IFERROR(F377 * VLOOKUP(D377, profissionais!B:D, 3, 0),"")</f>
        <v/>
      </c>
    </row>
    <row r="378">
      <c r="D378" s="4"/>
      <c r="E378" s="4"/>
      <c r="F378" s="4" t="str">
        <f>IFERROR(VLOOKUP(E378, servicos!B:C, 2, 0),"")</f>
        <v/>
      </c>
      <c r="G378" s="4" t="str">
        <f>IFERROR(F378 * VLOOKUP(D378, profissionais!B:D, 3, 0),"")</f>
        <v/>
      </c>
    </row>
    <row r="379">
      <c r="D379" s="4"/>
      <c r="E379" s="4"/>
      <c r="F379" s="4" t="str">
        <f>IFERROR(VLOOKUP(E379, servicos!B:C, 2, 0),"")</f>
        <v/>
      </c>
      <c r="G379" s="4" t="str">
        <f>IFERROR(F379 * VLOOKUP(D379, profissionais!B:D, 3, 0),"")</f>
        <v/>
      </c>
    </row>
    <row r="380">
      <c r="D380" s="4"/>
      <c r="E380" s="4"/>
      <c r="F380" s="4" t="str">
        <f>IFERROR(VLOOKUP(E380, servicos!B:C, 2, 0),"")</f>
        <v/>
      </c>
      <c r="G380" s="4" t="str">
        <f>IFERROR(F380 * VLOOKUP(D380, profissionais!B:D, 3, 0),"")</f>
        <v/>
      </c>
    </row>
    <row r="381">
      <c r="D381" s="4"/>
      <c r="E381" s="4"/>
      <c r="F381" s="4" t="str">
        <f>IFERROR(VLOOKUP(E381, servicos!B:C, 2, 0),"")</f>
        <v/>
      </c>
      <c r="G381" s="4" t="str">
        <f>IFERROR(F381 * VLOOKUP(D381, profissionais!B:D, 3, 0),"")</f>
        <v/>
      </c>
    </row>
    <row r="382">
      <c r="D382" s="4"/>
      <c r="E382" s="4"/>
      <c r="F382" s="4" t="str">
        <f>IFERROR(VLOOKUP(E382, servicos!B:C, 2, 0),"")</f>
        <v/>
      </c>
      <c r="G382" s="4" t="str">
        <f>IFERROR(F382 * VLOOKUP(D382, profissionais!B:D, 3, 0),"")</f>
        <v/>
      </c>
    </row>
    <row r="383">
      <c r="D383" s="4"/>
      <c r="E383" s="4"/>
      <c r="F383" s="4" t="str">
        <f>IFERROR(VLOOKUP(E383, servicos!B:C, 2, 0),"")</f>
        <v/>
      </c>
      <c r="G383" s="4" t="str">
        <f>IFERROR(F383 * VLOOKUP(D383, profissionais!B:D, 3, 0),"")</f>
        <v/>
      </c>
    </row>
    <row r="384">
      <c r="D384" s="4"/>
      <c r="E384" s="4"/>
      <c r="F384" s="4" t="str">
        <f>IFERROR(VLOOKUP(E384, servicos!B:C, 2, 0),"")</f>
        <v/>
      </c>
      <c r="G384" s="4" t="str">
        <f>IFERROR(F384 * VLOOKUP(D384, profissionais!B:D, 3, 0),"")</f>
        <v/>
      </c>
    </row>
    <row r="385">
      <c r="D385" s="4"/>
      <c r="E385" s="4"/>
      <c r="F385" s="4" t="str">
        <f>IFERROR(VLOOKUP(E385, servicos!B:C, 2, 0),"")</f>
        <v/>
      </c>
      <c r="G385" s="4" t="str">
        <f>IFERROR(F385 * VLOOKUP(D385, profissionais!B:D, 3, 0),"")</f>
        <v/>
      </c>
    </row>
    <row r="386">
      <c r="D386" s="4"/>
      <c r="E386" s="4"/>
      <c r="F386" s="4" t="str">
        <f>IFERROR(VLOOKUP(E386, servicos!B:C, 2, 0),"")</f>
        <v/>
      </c>
      <c r="G386" s="4" t="str">
        <f>IFERROR(F386 * VLOOKUP(D386, profissionais!B:D, 3, 0),"")</f>
        <v/>
      </c>
    </row>
    <row r="387">
      <c r="D387" s="4"/>
      <c r="E387" s="4"/>
      <c r="F387" s="4" t="str">
        <f>IFERROR(VLOOKUP(E387, servicos!B:C, 2, 0),"")</f>
        <v/>
      </c>
      <c r="G387" s="4" t="str">
        <f>IFERROR(F387 * VLOOKUP(D387, profissionais!B:D, 3, 0),"")</f>
        <v/>
      </c>
    </row>
    <row r="388">
      <c r="D388" s="4"/>
      <c r="E388" s="4"/>
      <c r="F388" s="4" t="str">
        <f>IFERROR(VLOOKUP(E388, servicos!B:C, 2, 0),"")</f>
        <v/>
      </c>
      <c r="G388" s="4" t="str">
        <f>IFERROR(F388 * VLOOKUP(D388, profissionais!B:D, 3, 0),"")</f>
        <v/>
      </c>
    </row>
    <row r="389">
      <c r="D389" s="4"/>
      <c r="E389" s="4"/>
      <c r="F389" s="4" t="str">
        <f>IFERROR(VLOOKUP(E389, servicos!B:C, 2, 0),"")</f>
        <v/>
      </c>
      <c r="G389" s="4" t="str">
        <f>IFERROR(F389 * VLOOKUP(D389, profissionais!B:D, 3, 0),"")</f>
        <v/>
      </c>
    </row>
    <row r="390">
      <c r="D390" s="4"/>
      <c r="E390" s="4"/>
      <c r="F390" s="4" t="str">
        <f>IFERROR(VLOOKUP(E390, servicos!B:C, 2, 0),"")</f>
        <v/>
      </c>
      <c r="G390" s="4" t="str">
        <f>IFERROR(F390 * VLOOKUP(D390, profissionais!B:D, 3, 0),"")</f>
        <v/>
      </c>
    </row>
    <row r="391">
      <c r="D391" s="4"/>
      <c r="E391" s="4"/>
      <c r="F391" s="4" t="str">
        <f>IFERROR(VLOOKUP(E391, servicos!B:C, 2, 0),"")</f>
        <v/>
      </c>
      <c r="G391" s="4" t="str">
        <f>IFERROR(F391 * VLOOKUP(D391, profissionais!B:D, 3, 0),"")</f>
        <v/>
      </c>
    </row>
    <row r="392">
      <c r="D392" s="4"/>
      <c r="E392" s="4"/>
      <c r="F392" s="4" t="str">
        <f>IFERROR(VLOOKUP(E392, servicos!B:C, 2, 0),"")</f>
        <v/>
      </c>
      <c r="G392" s="4" t="str">
        <f>IFERROR(F392 * VLOOKUP(D392, profissionais!B:D, 3, 0),"")</f>
        <v/>
      </c>
    </row>
    <row r="393">
      <c r="D393" s="4"/>
      <c r="E393" s="4"/>
      <c r="F393" s="4" t="str">
        <f>IFERROR(VLOOKUP(E393, servicos!B:C, 2, 0),"")</f>
        <v/>
      </c>
      <c r="G393" s="4" t="str">
        <f>IFERROR(F393 * VLOOKUP(D393, profissionais!B:D, 3, 0),"")</f>
        <v/>
      </c>
    </row>
    <row r="394">
      <c r="D394" s="4"/>
      <c r="E394" s="4"/>
      <c r="F394" s="4" t="str">
        <f>IFERROR(VLOOKUP(E394, servicos!B:C, 2, 0),"")</f>
        <v/>
      </c>
      <c r="G394" s="4" t="str">
        <f>IFERROR(F394 * VLOOKUP(D394, profissionais!B:D, 3, 0),"")</f>
        <v/>
      </c>
    </row>
    <row r="395">
      <c r="D395" s="4"/>
      <c r="E395" s="4"/>
      <c r="F395" s="4" t="str">
        <f>IFERROR(VLOOKUP(E395, servicos!B:C, 2, 0),"")</f>
        <v/>
      </c>
      <c r="G395" s="4" t="str">
        <f>IFERROR(F395 * VLOOKUP(D395, profissionais!B:D, 3, 0),"")</f>
        <v/>
      </c>
    </row>
    <row r="396">
      <c r="D396" s="4"/>
      <c r="E396" s="4"/>
      <c r="F396" s="4" t="str">
        <f>IFERROR(VLOOKUP(E396, servicos!B:C, 2, 0),"")</f>
        <v/>
      </c>
      <c r="G396" s="4" t="str">
        <f>IFERROR(F396 * VLOOKUP(D396, profissionais!B:D, 3, 0),"")</f>
        <v/>
      </c>
    </row>
    <row r="397">
      <c r="D397" s="4"/>
      <c r="E397" s="4"/>
      <c r="F397" s="4" t="str">
        <f>IFERROR(VLOOKUP(E397, servicos!B:C, 2, 0),"")</f>
        <v/>
      </c>
      <c r="G397" s="4" t="str">
        <f>IFERROR(F397 * VLOOKUP(D397, profissionais!B:D, 3, 0),"")</f>
        <v/>
      </c>
    </row>
    <row r="398">
      <c r="D398" s="4"/>
      <c r="E398" s="4"/>
      <c r="F398" s="4" t="str">
        <f>IFERROR(VLOOKUP(E398, servicos!B:C, 2, 0),"")</f>
        <v/>
      </c>
      <c r="G398" s="4" t="str">
        <f>IFERROR(F398 * VLOOKUP(D398, profissionais!B:D, 3, 0),"")</f>
        <v/>
      </c>
    </row>
    <row r="399">
      <c r="D399" s="4"/>
      <c r="E399" s="4"/>
      <c r="F399" s="4" t="str">
        <f>IFERROR(VLOOKUP(E399, servicos!B:C, 2, 0),"")</f>
        <v/>
      </c>
      <c r="G399" s="4" t="str">
        <f>IFERROR(F399 * VLOOKUP(D399, profissionais!B:D, 3, 0),"")</f>
        <v/>
      </c>
    </row>
    <row r="400">
      <c r="D400" s="4"/>
      <c r="E400" s="4"/>
      <c r="F400" s="4" t="str">
        <f>IFERROR(VLOOKUP(E400, servicos!B:C, 2, 0),"")</f>
        <v/>
      </c>
      <c r="G400" s="4" t="str">
        <f>IFERROR(F400 * VLOOKUP(D400, profissionais!B:D, 3, 0),"")</f>
        <v/>
      </c>
    </row>
    <row r="401">
      <c r="D401" s="4"/>
      <c r="E401" s="4"/>
      <c r="F401" s="4" t="str">
        <f>IFERROR(VLOOKUP(E401, servicos!B:C, 2, 0),"")</f>
        <v/>
      </c>
      <c r="G401" s="4" t="str">
        <f>IFERROR(F401 * VLOOKUP(D401, profissionais!B:D, 3, 0),"")</f>
        <v/>
      </c>
    </row>
    <row r="402">
      <c r="D402" s="4"/>
      <c r="E402" s="4"/>
      <c r="F402" s="4" t="str">
        <f>IFERROR(VLOOKUP(E402, servicos!B:C, 2, 0),"")</f>
        <v/>
      </c>
      <c r="G402" s="4" t="str">
        <f>IFERROR(F402 * VLOOKUP(D402, profissionais!B:D, 3, 0),"")</f>
        <v/>
      </c>
    </row>
    <row r="403">
      <c r="D403" s="4"/>
      <c r="E403" s="4"/>
      <c r="F403" s="4" t="str">
        <f>IFERROR(VLOOKUP(E403, servicos!B:C, 2, 0),"")</f>
        <v/>
      </c>
      <c r="G403" s="4" t="str">
        <f>IFERROR(F403 * VLOOKUP(D403, profissionais!B:D, 3, 0),"")</f>
        <v/>
      </c>
    </row>
    <row r="404">
      <c r="D404" s="4"/>
      <c r="E404" s="4"/>
      <c r="F404" s="4" t="str">
        <f>IFERROR(VLOOKUP(E404, servicos!B:C, 2, 0),"")</f>
        <v/>
      </c>
      <c r="G404" s="4" t="str">
        <f>IFERROR(F404 * VLOOKUP(D404, profissionais!B:D, 3, 0),"")</f>
        <v/>
      </c>
    </row>
    <row r="405">
      <c r="D405" s="4"/>
      <c r="E405" s="4"/>
      <c r="F405" s="4" t="str">
        <f>IFERROR(VLOOKUP(E405, servicos!B:C, 2, 0),"")</f>
        <v/>
      </c>
      <c r="G405" s="4" t="str">
        <f>IFERROR(F405 * VLOOKUP(D405, profissionais!B:D, 3, 0),"")</f>
        <v/>
      </c>
    </row>
    <row r="406">
      <c r="D406" s="4"/>
      <c r="E406" s="4"/>
      <c r="F406" s="4" t="str">
        <f>IFERROR(VLOOKUP(E406, servicos!B:C, 2, 0),"")</f>
        <v/>
      </c>
      <c r="G406" s="4" t="str">
        <f>IFERROR(F406 * VLOOKUP(D406, profissionais!B:D, 3, 0),"")</f>
        <v/>
      </c>
    </row>
    <row r="407">
      <c r="D407" s="4"/>
      <c r="E407" s="4"/>
      <c r="F407" s="4" t="str">
        <f>IFERROR(VLOOKUP(E407, servicos!B:C, 2, 0),"")</f>
        <v/>
      </c>
      <c r="G407" s="4" t="str">
        <f>IFERROR(F407 * VLOOKUP(D407, profissionais!B:D, 3, 0),"")</f>
        <v/>
      </c>
    </row>
    <row r="408">
      <c r="D408" s="4"/>
      <c r="E408" s="4"/>
      <c r="F408" s="4" t="str">
        <f>IFERROR(VLOOKUP(E408, servicos!B:C, 2, 0),"")</f>
        <v/>
      </c>
      <c r="G408" s="4" t="str">
        <f>IFERROR(F408 * VLOOKUP(D408, profissionais!B:D, 3, 0),"")</f>
        <v/>
      </c>
    </row>
    <row r="409">
      <c r="D409" s="4"/>
      <c r="E409" s="4"/>
      <c r="F409" s="4" t="str">
        <f>IFERROR(VLOOKUP(E409, servicos!B:C, 2, 0),"")</f>
        <v/>
      </c>
      <c r="G409" s="4" t="str">
        <f>IFERROR(F409 * VLOOKUP(D409, profissionais!B:D, 3, 0),"")</f>
        <v/>
      </c>
    </row>
    <row r="410">
      <c r="D410" s="4"/>
      <c r="E410" s="4"/>
      <c r="F410" s="4" t="str">
        <f>IFERROR(VLOOKUP(E410, servicos!B:C, 2, 0),"")</f>
        <v/>
      </c>
      <c r="G410" s="4" t="str">
        <f>IFERROR(F410 * VLOOKUP(D410, profissionais!B:D, 3, 0),"")</f>
        <v/>
      </c>
    </row>
    <row r="411">
      <c r="D411" s="4"/>
      <c r="E411" s="4"/>
      <c r="F411" s="4" t="str">
        <f>IFERROR(VLOOKUP(E411, servicos!B:C, 2, 0),"")</f>
        <v/>
      </c>
      <c r="G411" s="4" t="str">
        <f>IFERROR(F411 * VLOOKUP(D411, profissionais!B:D, 3, 0),"")</f>
        <v/>
      </c>
    </row>
    <row r="412">
      <c r="D412" s="4"/>
      <c r="E412" s="4"/>
      <c r="F412" s="4" t="str">
        <f>IFERROR(VLOOKUP(E412, servicos!B:C, 2, 0),"")</f>
        <v/>
      </c>
      <c r="G412" s="4" t="str">
        <f>IFERROR(F412 * VLOOKUP(D412, profissionais!B:D, 3, 0),"")</f>
        <v/>
      </c>
    </row>
    <row r="413">
      <c r="D413" s="4"/>
      <c r="E413" s="4"/>
      <c r="F413" s="4" t="str">
        <f>IFERROR(VLOOKUP(E413, servicos!B:C, 2, 0),"")</f>
        <v/>
      </c>
      <c r="G413" s="4" t="str">
        <f>IFERROR(F413 * VLOOKUP(D413, profissionais!B:D, 3, 0),"")</f>
        <v/>
      </c>
    </row>
    <row r="414">
      <c r="D414" s="4"/>
      <c r="E414" s="4"/>
      <c r="F414" s="4" t="str">
        <f>IFERROR(VLOOKUP(E414, servicos!B:C, 2, 0),"")</f>
        <v/>
      </c>
      <c r="G414" s="4" t="str">
        <f>IFERROR(F414 * VLOOKUP(D414, profissionais!B:D, 3, 0),"")</f>
        <v/>
      </c>
    </row>
    <row r="415">
      <c r="D415" s="4"/>
      <c r="E415" s="4"/>
      <c r="F415" s="4" t="str">
        <f>IFERROR(VLOOKUP(E415, servicos!B:C, 2, 0),"")</f>
        <v/>
      </c>
      <c r="G415" s="4" t="str">
        <f>IFERROR(F415 * VLOOKUP(D415, profissionais!B:D, 3, 0),"")</f>
        <v/>
      </c>
    </row>
    <row r="416">
      <c r="D416" s="4"/>
      <c r="E416" s="4"/>
      <c r="F416" s="4" t="str">
        <f>IFERROR(VLOOKUP(E416, servicos!B:C, 2, 0),"")</f>
        <v/>
      </c>
      <c r="G416" s="4" t="str">
        <f>IFERROR(F416 * VLOOKUP(D416, profissionais!B:D, 3, 0),"")</f>
        <v/>
      </c>
    </row>
    <row r="417">
      <c r="D417" s="4"/>
      <c r="E417" s="4"/>
      <c r="F417" s="4" t="str">
        <f>IFERROR(VLOOKUP(E417, servicos!B:C, 2, 0),"")</f>
        <v/>
      </c>
      <c r="G417" s="4" t="str">
        <f>IFERROR(F417 * VLOOKUP(D417, profissionais!B:D, 3, 0),"")</f>
        <v/>
      </c>
    </row>
    <row r="418">
      <c r="D418" s="4"/>
      <c r="E418" s="4"/>
      <c r="F418" s="4" t="str">
        <f>IFERROR(VLOOKUP(E418, servicos!B:C, 2, 0),"")</f>
        <v/>
      </c>
      <c r="G418" s="4" t="str">
        <f>IFERROR(F418 * VLOOKUP(D418, profissionais!B:D, 3, 0),"")</f>
        <v/>
      </c>
    </row>
    <row r="419">
      <c r="D419" s="4"/>
      <c r="E419" s="4"/>
      <c r="F419" s="4" t="str">
        <f>IFERROR(VLOOKUP(E419, servicos!B:C, 2, 0),"")</f>
        <v/>
      </c>
      <c r="G419" s="4" t="str">
        <f>IFERROR(F419 * VLOOKUP(D419, profissionais!B:D, 3, 0),"")</f>
        <v/>
      </c>
    </row>
    <row r="420">
      <c r="D420" s="4"/>
      <c r="E420" s="4"/>
      <c r="F420" s="4" t="str">
        <f>IFERROR(VLOOKUP(E420, servicos!B:C, 2, 0),"")</f>
        <v/>
      </c>
      <c r="G420" s="4" t="str">
        <f>IFERROR(F420 * VLOOKUP(D420, profissionais!B:D, 3, 0),"")</f>
        <v/>
      </c>
    </row>
    <row r="421">
      <c r="D421" s="4"/>
      <c r="E421" s="4"/>
      <c r="F421" s="4" t="str">
        <f>IFERROR(VLOOKUP(E421, servicos!B:C, 2, 0),"")</f>
        <v/>
      </c>
      <c r="G421" s="4" t="str">
        <f>IFERROR(F421 * VLOOKUP(D421, profissionais!B:D, 3, 0),"")</f>
        <v/>
      </c>
    </row>
    <row r="422">
      <c r="D422" s="4"/>
      <c r="E422" s="4"/>
      <c r="F422" s="4" t="str">
        <f>IFERROR(VLOOKUP(E422, servicos!B:C, 2, 0),"")</f>
        <v/>
      </c>
      <c r="G422" s="4" t="str">
        <f>IFERROR(F422 * VLOOKUP(D422, profissionais!B:D, 3, 0),"")</f>
        <v/>
      </c>
    </row>
    <row r="423">
      <c r="D423" s="4"/>
      <c r="E423" s="4"/>
      <c r="F423" s="4" t="str">
        <f>IFERROR(VLOOKUP(E423, servicos!B:C, 2, 0),"")</f>
        <v/>
      </c>
      <c r="G423" s="4" t="str">
        <f>IFERROR(F423 * VLOOKUP(D423, profissionais!B:D, 3, 0),"")</f>
        <v/>
      </c>
    </row>
    <row r="424">
      <c r="D424" s="4"/>
      <c r="E424" s="4"/>
      <c r="F424" s="4" t="str">
        <f>IFERROR(VLOOKUP(E424, servicos!B:C, 2, 0),"")</f>
        <v/>
      </c>
      <c r="G424" s="4" t="str">
        <f>IFERROR(F424 * VLOOKUP(D424, profissionais!B:D, 3, 0),"")</f>
        <v/>
      </c>
    </row>
    <row r="425">
      <c r="D425" s="4"/>
      <c r="E425" s="4"/>
      <c r="F425" s="4" t="str">
        <f>IFERROR(VLOOKUP(E425, servicos!B:C, 2, 0),"")</f>
        <v/>
      </c>
      <c r="G425" s="4" t="str">
        <f>IFERROR(F425 * VLOOKUP(D425, profissionais!B:D, 3, 0),"")</f>
        <v/>
      </c>
    </row>
    <row r="426">
      <c r="D426" s="4"/>
      <c r="E426" s="4"/>
      <c r="F426" s="4" t="str">
        <f>IFERROR(VLOOKUP(E426, servicos!B:C, 2, 0),"")</f>
        <v/>
      </c>
      <c r="G426" s="4" t="str">
        <f>IFERROR(F426 * VLOOKUP(D426, profissionais!B:D, 3, 0),"")</f>
        <v/>
      </c>
    </row>
    <row r="427">
      <c r="D427" s="4"/>
      <c r="E427" s="4"/>
      <c r="F427" s="4" t="str">
        <f>IFERROR(VLOOKUP(E427, servicos!B:C, 2, 0),"")</f>
        <v/>
      </c>
      <c r="G427" s="4" t="str">
        <f>IFERROR(F427 * VLOOKUP(D427, profissionais!B:D, 3, 0),"")</f>
        <v/>
      </c>
    </row>
    <row r="428">
      <c r="D428" s="4"/>
      <c r="E428" s="4"/>
      <c r="F428" s="4" t="str">
        <f>IFERROR(VLOOKUP(E428, servicos!B:C, 2, 0),"")</f>
        <v/>
      </c>
      <c r="G428" s="4" t="str">
        <f>IFERROR(F428 * VLOOKUP(D428, profissionais!B:D, 3, 0),"")</f>
        <v/>
      </c>
    </row>
    <row r="429">
      <c r="D429" s="4"/>
      <c r="E429" s="4"/>
      <c r="F429" s="4" t="str">
        <f>IFERROR(VLOOKUP(E429, servicos!B:C, 2, 0),"")</f>
        <v/>
      </c>
      <c r="G429" s="4" t="str">
        <f>IFERROR(F429 * VLOOKUP(D429, profissionais!B:D, 3, 0),"")</f>
        <v/>
      </c>
    </row>
    <row r="430">
      <c r="D430" s="4"/>
      <c r="E430" s="4"/>
      <c r="F430" s="4" t="str">
        <f>IFERROR(VLOOKUP(E430, servicos!B:C, 2, 0),"")</f>
        <v/>
      </c>
      <c r="G430" s="4" t="str">
        <f>IFERROR(F430 * VLOOKUP(D430, profissionais!B:D, 3, 0),"")</f>
        <v/>
      </c>
    </row>
    <row r="431">
      <c r="D431" s="4"/>
      <c r="E431" s="4"/>
      <c r="F431" s="4" t="str">
        <f>IFERROR(VLOOKUP(E431, servicos!B:C, 2, 0),"")</f>
        <v/>
      </c>
      <c r="G431" s="4" t="str">
        <f>IFERROR(F431 * VLOOKUP(D431, profissionais!B:D, 3, 0),"")</f>
        <v/>
      </c>
    </row>
    <row r="432">
      <c r="D432" s="4"/>
      <c r="E432" s="4"/>
      <c r="F432" s="4" t="str">
        <f>IFERROR(VLOOKUP(E432, servicos!B:C, 2, 0),"")</f>
        <v/>
      </c>
      <c r="G432" s="4" t="str">
        <f>IFERROR(F432 * VLOOKUP(D432, profissionais!B:D, 3, 0),"")</f>
        <v/>
      </c>
    </row>
    <row r="433">
      <c r="D433" s="4"/>
      <c r="E433" s="4"/>
      <c r="F433" s="4" t="str">
        <f>IFERROR(VLOOKUP(E433, servicos!B:C, 2, 0),"")</f>
        <v/>
      </c>
      <c r="G433" s="4" t="str">
        <f>IFERROR(F433 * VLOOKUP(D433, profissionais!B:D, 3, 0),"")</f>
        <v/>
      </c>
    </row>
    <row r="434">
      <c r="D434" s="4"/>
      <c r="E434" s="4"/>
      <c r="F434" s="4" t="str">
        <f>IFERROR(VLOOKUP(E434, servicos!B:C, 2, 0),"")</f>
        <v/>
      </c>
      <c r="G434" s="4" t="str">
        <f>IFERROR(F434 * VLOOKUP(D434, profissionais!B:D, 3, 0),"")</f>
        <v/>
      </c>
    </row>
    <row r="435">
      <c r="D435" s="4"/>
      <c r="E435" s="4"/>
      <c r="F435" s="4" t="str">
        <f>IFERROR(VLOOKUP(E435, servicos!B:C, 2, 0),"")</f>
        <v/>
      </c>
      <c r="G435" s="4" t="str">
        <f>IFERROR(F435 * VLOOKUP(D435, profissionais!B:D, 3, 0),"")</f>
        <v/>
      </c>
    </row>
    <row r="436">
      <c r="D436" s="4"/>
      <c r="E436" s="4"/>
      <c r="F436" s="4" t="str">
        <f>IFERROR(VLOOKUP(E436, servicos!B:C, 2, 0),"")</f>
        <v/>
      </c>
      <c r="G436" s="4" t="str">
        <f>IFERROR(F436 * VLOOKUP(D436, profissionais!B:D, 3, 0),"")</f>
        <v/>
      </c>
    </row>
    <row r="437">
      <c r="D437" s="4"/>
      <c r="E437" s="4"/>
      <c r="F437" s="4" t="str">
        <f>IFERROR(VLOOKUP(E437, servicos!B:C, 2, 0),"")</f>
        <v/>
      </c>
      <c r="G437" s="4" t="str">
        <f>IFERROR(F437 * VLOOKUP(D437, profissionais!B:D, 3, 0),"")</f>
        <v/>
      </c>
    </row>
    <row r="438">
      <c r="D438" s="4"/>
      <c r="E438" s="4"/>
      <c r="F438" s="4" t="str">
        <f>IFERROR(VLOOKUP(E438, servicos!B:C, 2, 0),"")</f>
        <v/>
      </c>
      <c r="G438" s="4" t="str">
        <f>IFERROR(F438 * VLOOKUP(D438, profissionais!B:D, 3, 0),"")</f>
        <v/>
      </c>
    </row>
    <row r="439">
      <c r="D439" s="4"/>
      <c r="E439" s="4"/>
      <c r="F439" s="4" t="str">
        <f>IFERROR(VLOOKUP(E439, servicos!B:C, 2, 0),"")</f>
        <v/>
      </c>
      <c r="G439" s="4" t="str">
        <f>IFERROR(F439 * VLOOKUP(D439, profissionais!B:D, 3, 0),"")</f>
        <v/>
      </c>
    </row>
    <row r="440">
      <c r="D440" s="4"/>
      <c r="E440" s="4"/>
      <c r="F440" s="4" t="str">
        <f>IFERROR(VLOOKUP(E440, servicos!B:C, 2, 0),"")</f>
        <v/>
      </c>
      <c r="G440" s="4" t="str">
        <f>IFERROR(F440 * VLOOKUP(D440, profissionais!B:D, 3, 0),"")</f>
        <v/>
      </c>
    </row>
    <row r="441">
      <c r="D441" s="4"/>
      <c r="E441" s="4"/>
      <c r="F441" s="4" t="str">
        <f>IFERROR(VLOOKUP(E441, servicos!B:C, 2, 0),"")</f>
        <v/>
      </c>
      <c r="G441" s="4" t="str">
        <f>IFERROR(F441 * VLOOKUP(D441, profissionais!B:D, 3, 0),"")</f>
        <v/>
      </c>
    </row>
    <row r="442">
      <c r="D442" s="4"/>
      <c r="E442" s="4"/>
      <c r="F442" s="4" t="str">
        <f>IFERROR(VLOOKUP(E442, servicos!B:C, 2, 0),"")</f>
        <v/>
      </c>
      <c r="G442" s="4" t="str">
        <f>IFERROR(F442 * VLOOKUP(D442, profissionais!B:D, 3, 0),"")</f>
        <v/>
      </c>
    </row>
    <row r="443">
      <c r="D443" s="4"/>
      <c r="E443" s="4"/>
      <c r="F443" s="4" t="str">
        <f>IFERROR(VLOOKUP(E443, servicos!B:C, 2, 0),"")</f>
        <v/>
      </c>
      <c r="G443" s="4" t="str">
        <f>IFERROR(F443 * VLOOKUP(D443, profissionais!B:D, 3, 0),"")</f>
        <v/>
      </c>
    </row>
    <row r="444">
      <c r="D444" s="4"/>
      <c r="E444" s="4"/>
      <c r="F444" s="4" t="str">
        <f>IFERROR(VLOOKUP(E444, servicos!B:C, 2, 0),"")</f>
        <v/>
      </c>
      <c r="G444" s="4" t="str">
        <f>IFERROR(F444 * VLOOKUP(D444, profissionais!B:D, 3, 0),"")</f>
        <v/>
      </c>
    </row>
    <row r="445">
      <c r="D445" s="4"/>
      <c r="E445" s="4"/>
      <c r="F445" s="4" t="str">
        <f>IFERROR(VLOOKUP(E445, servicos!B:C, 2, 0),"")</f>
        <v/>
      </c>
      <c r="G445" s="4" t="str">
        <f>IFERROR(F445 * VLOOKUP(D445, profissionais!B:D, 3, 0),"")</f>
        <v/>
      </c>
    </row>
    <row r="446">
      <c r="D446" s="4"/>
      <c r="E446" s="4"/>
      <c r="F446" s="4" t="str">
        <f>IFERROR(VLOOKUP(E446, servicos!B:C, 2, 0),"")</f>
        <v/>
      </c>
      <c r="G446" s="4" t="str">
        <f>IFERROR(F446 * VLOOKUP(D446, profissionais!B:D, 3, 0),"")</f>
        <v/>
      </c>
    </row>
    <row r="447">
      <c r="D447" s="4"/>
      <c r="E447" s="4"/>
      <c r="F447" s="4" t="str">
        <f>IFERROR(VLOOKUP(E447, servicos!B:C, 2, 0),"")</f>
        <v/>
      </c>
      <c r="G447" s="4" t="str">
        <f>IFERROR(F447 * VLOOKUP(D447, profissionais!B:D, 3, 0),"")</f>
        <v/>
      </c>
    </row>
    <row r="448">
      <c r="D448" s="4"/>
      <c r="E448" s="4"/>
      <c r="F448" s="4" t="str">
        <f>IFERROR(VLOOKUP(E448, servicos!B:C, 2, 0),"")</f>
        <v/>
      </c>
      <c r="G448" s="4" t="str">
        <f>IFERROR(F448 * VLOOKUP(D448, profissionais!B:D, 3, 0),"")</f>
        <v/>
      </c>
    </row>
    <row r="449">
      <c r="D449" s="4"/>
      <c r="E449" s="4"/>
      <c r="F449" s="4" t="str">
        <f>IFERROR(VLOOKUP(E449, servicos!B:C, 2, 0),"")</f>
        <v/>
      </c>
      <c r="G449" s="4" t="str">
        <f>IFERROR(F449 * VLOOKUP(D449, profissionais!B:D, 3, 0),"")</f>
        <v/>
      </c>
    </row>
    <row r="450">
      <c r="D450" s="4"/>
      <c r="E450" s="4"/>
      <c r="F450" s="4" t="str">
        <f>IFERROR(VLOOKUP(E450, servicos!B:C, 2, 0),"")</f>
        <v/>
      </c>
      <c r="G450" s="4" t="str">
        <f>IFERROR(F450 * VLOOKUP(D450, profissionais!B:D, 3, 0),"")</f>
        <v/>
      </c>
    </row>
    <row r="451">
      <c r="D451" s="4"/>
      <c r="E451" s="4"/>
      <c r="F451" s="4" t="str">
        <f>IFERROR(VLOOKUP(E451, servicos!B:C, 2, 0),"")</f>
        <v/>
      </c>
      <c r="G451" s="4" t="str">
        <f>IFERROR(F451 * VLOOKUP(D451, profissionais!B:D, 3, 0),"")</f>
        <v/>
      </c>
    </row>
    <row r="452">
      <c r="D452" s="4"/>
      <c r="E452" s="4"/>
      <c r="F452" s="4" t="str">
        <f>IFERROR(VLOOKUP(E452, servicos!B:C, 2, 0),"")</f>
        <v/>
      </c>
      <c r="G452" s="4" t="str">
        <f>IFERROR(F452 * VLOOKUP(D452, profissionais!B:D, 3, 0),"")</f>
        <v/>
      </c>
    </row>
    <row r="453">
      <c r="D453" s="4"/>
      <c r="E453" s="4"/>
      <c r="F453" s="4" t="str">
        <f>IFERROR(VLOOKUP(E453, servicos!B:C, 2, 0),"")</f>
        <v/>
      </c>
      <c r="G453" s="4" t="str">
        <f>IFERROR(F453 * VLOOKUP(D453, profissionais!B:D, 3, 0),"")</f>
        <v/>
      </c>
    </row>
    <row r="454">
      <c r="D454" s="4"/>
      <c r="E454" s="4"/>
      <c r="F454" s="4" t="str">
        <f>IFERROR(VLOOKUP(E454, servicos!B:C, 2, 0),"")</f>
        <v/>
      </c>
      <c r="G454" s="4" t="str">
        <f>IFERROR(F454 * VLOOKUP(D454, profissionais!B:D, 3, 0),"")</f>
        <v/>
      </c>
    </row>
    <row r="455">
      <c r="D455" s="4"/>
      <c r="E455" s="4"/>
      <c r="F455" s="4" t="str">
        <f>IFERROR(VLOOKUP(E455, servicos!B:C, 2, 0),"")</f>
        <v/>
      </c>
      <c r="G455" s="4" t="str">
        <f>IFERROR(F455 * VLOOKUP(D455, profissionais!B:D, 3, 0),"")</f>
        <v/>
      </c>
    </row>
    <row r="456">
      <c r="D456" s="4"/>
      <c r="E456" s="4"/>
      <c r="F456" s="4" t="str">
        <f>IFERROR(VLOOKUP(E456, servicos!B:C, 2, 0),"")</f>
        <v/>
      </c>
      <c r="G456" s="4" t="str">
        <f>IFERROR(F456 * VLOOKUP(D456, profissionais!B:D, 3, 0),"")</f>
        <v/>
      </c>
    </row>
    <row r="457">
      <c r="D457" s="4"/>
      <c r="E457" s="4"/>
      <c r="F457" s="4" t="str">
        <f>IFERROR(VLOOKUP(E457, servicos!B:C, 2, 0),"")</f>
        <v/>
      </c>
      <c r="G457" s="4" t="str">
        <f>IFERROR(F457 * VLOOKUP(D457, profissionais!B:D, 3, 0),"")</f>
        <v/>
      </c>
    </row>
    <row r="458">
      <c r="D458" s="4"/>
      <c r="E458" s="4"/>
      <c r="F458" s="4" t="str">
        <f>IFERROR(VLOOKUP(E458, servicos!B:C, 2, 0),"")</f>
        <v/>
      </c>
      <c r="G458" s="4" t="str">
        <f>IFERROR(F458 * VLOOKUP(D458, profissionais!B:D, 3, 0),"")</f>
        <v/>
      </c>
    </row>
    <row r="459">
      <c r="D459" s="4"/>
      <c r="E459" s="4"/>
      <c r="F459" s="4" t="str">
        <f>IFERROR(VLOOKUP(E459, servicos!B:C, 2, 0),"")</f>
        <v/>
      </c>
      <c r="G459" s="4" t="str">
        <f>IFERROR(F459 * VLOOKUP(D459, profissionais!B:D, 3, 0),"")</f>
        <v/>
      </c>
    </row>
    <row r="460">
      <c r="D460" s="4"/>
      <c r="E460" s="4"/>
      <c r="F460" s="4" t="str">
        <f>IFERROR(VLOOKUP(E460, servicos!B:C, 2, 0),"")</f>
        <v/>
      </c>
      <c r="G460" s="4" t="str">
        <f>IFERROR(F460 * VLOOKUP(D460, profissionais!B:D, 3, 0),"")</f>
        <v/>
      </c>
    </row>
    <row r="461">
      <c r="D461" s="4"/>
      <c r="E461" s="4"/>
      <c r="F461" s="4" t="str">
        <f>IFERROR(VLOOKUP(E461, servicos!B:C, 2, 0),"")</f>
        <v/>
      </c>
      <c r="G461" s="4" t="str">
        <f>IFERROR(F461 * VLOOKUP(D461, profissionais!B:D, 3, 0),"")</f>
        <v/>
      </c>
    </row>
    <row r="462">
      <c r="D462" s="4"/>
      <c r="E462" s="4"/>
      <c r="F462" s="4" t="str">
        <f>IFERROR(VLOOKUP(E462, servicos!B:C, 2, 0),"")</f>
        <v/>
      </c>
      <c r="G462" s="4" t="str">
        <f>IFERROR(F462 * VLOOKUP(D462, profissionais!B:D, 3, 0),"")</f>
        <v/>
      </c>
    </row>
    <row r="463">
      <c r="D463" s="4"/>
      <c r="E463" s="4"/>
      <c r="F463" s="4" t="str">
        <f>IFERROR(VLOOKUP(E463, servicos!B:C, 2, 0),"")</f>
        <v/>
      </c>
      <c r="G463" s="4" t="str">
        <f>IFERROR(F463 * VLOOKUP(D463, profissionais!B:D, 3, 0),"")</f>
        <v/>
      </c>
    </row>
    <row r="464">
      <c r="D464" s="4"/>
      <c r="E464" s="4"/>
      <c r="F464" s="4" t="str">
        <f>IFERROR(VLOOKUP(E464, servicos!B:C, 2, 0),"")</f>
        <v/>
      </c>
      <c r="G464" s="4" t="str">
        <f>IFERROR(F464 * VLOOKUP(D464, profissionais!B:D, 3, 0),"")</f>
        <v/>
      </c>
    </row>
    <row r="465">
      <c r="D465" s="4"/>
      <c r="E465" s="4"/>
      <c r="F465" s="4" t="str">
        <f>IFERROR(VLOOKUP(E465, servicos!B:C, 2, 0),"")</f>
        <v/>
      </c>
      <c r="G465" s="4" t="str">
        <f>IFERROR(F465 * VLOOKUP(D465, profissionais!B:D, 3, 0),"")</f>
        <v/>
      </c>
    </row>
    <row r="466">
      <c r="D466" s="4"/>
      <c r="E466" s="4"/>
      <c r="F466" s="4" t="str">
        <f>IFERROR(VLOOKUP(E466, servicos!B:C, 2, 0),"")</f>
        <v/>
      </c>
      <c r="G466" s="4" t="str">
        <f>IFERROR(F466 * VLOOKUP(D466, profissionais!B:D, 3, 0),"")</f>
        <v/>
      </c>
    </row>
    <row r="467">
      <c r="D467" s="4"/>
      <c r="E467" s="4"/>
      <c r="F467" s="4" t="str">
        <f>IFERROR(VLOOKUP(E467, servicos!B:C, 2, 0),"")</f>
        <v/>
      </c>
      <c r="G467" s="4" t="str">
        <f>IFERROR(F467 * VLOOKUP(D467, profissionais!B:D, 3, 0),"")</f>
        <v/>
      </c>
    </row>
    <row r="468">
      <c r="D468" s="4"/>
      <c r="E468" s="4"/>
      <c r="F468" s="4" t="str">
        <f>IFERROR(VLOOKUP(E468, servicos!B:C, 2, 0),"")</f>
        <v/>
      </c>
      <c r="G468" s="4" t="str">
        <f>IFERROR(F468 * VLOOKUP(D468, profissionais!B:D, 3, 0),"")</f>
        <v/>
      </c>
    </row>
    <row r="469">
      <c r="D469" s="4"/>
      <c r="E469" s="4"/>
      <c r="F469" s="4" t="str">
        <f>IFERROR(VLOOKUP(E469, servicos!B:C, 2, 0),"")</f>
        <v/>
      </c>
      <c r="G469" s="4" t="str">
        <f>IFERROR(F469 * VLOOKUP(D469, profissionais!B:D, 3, 0),"")</f>
        <v/>
      </c>
    </row>
    <row r="470">
      <c r="D470" s="4"/>
      <c r="E470" s="4"/>
      <c r="F470" s="4" t="str">
        <f>IFERROR(VLOOKUP(E470, servicos!B:C, 2, 0),"")</f>
        <v/>
      </c>
      <c r="G470" s="4" t="str">
        <f>IFERROR(F470 * VLOOKUP(D470, profissionais!B:D, 3, 0),"")</f>
        <v/>
      </c>
    </row>
    <row r="471">
      <c r="D471" s="4"/>
      <c r="E471" s="4"/>
      <c r="F471" s="4" t="str">
        <f>IFERROR(VLOOKUP(E471, servicos!B:C, 2, 0),"")</f>
        <v/>
      </c>
      <c r="G471" s="4" t="str">
        <f>IFERROR(F471 * VLOOKUP(D471, profissionais!B:D, 3, 0),"")</f>
        <v/>
      </c>
    </row>
    <row r="472">
      <c r="D472" s="4"/>
      <c r="E472" s="4"/>
      <c r="F472" s="4" t="str">
        <f>IFERROR(VLOOKUP(E472, servicos!B:C, 2, 0),"")</f>
        <v/>
      </c>
      <c r="G472" s="4" t="str">
        <f>IFERROR(F472 * VLOOKUP(D472, profissionais!B:D, 3, 0),"")</f>
        <v/>
      </c>
    </row>
    <row r="473">
      <c r="D473" s="4"/>
      <c r="E473" s="4"/>
      <c r="F473" s="4" t="str">
        <f>IFERROR(VLOOKUP(E473, servicos!B:C, 2, 0),"")</f>
        <v/>
      </c>
      <c r="G473" s="4" t="str">
        <f>IFERROR(F473 * VLOOKUP(D473, profissionais!B:D, 3, 0),"")</f>
        <v/>
      </c>
    </row>
    <row r="474">
      <c r="D474" s="4"/>
      <c r="E474" s="4"/>
      <c r="F474" s="4" t="str">
        <f>IFERROR(VLOOKUP(E474, servicos!B:C, 2, 0),"")</f>
        <v/>
      </c>
      <c r="G474" s="4" t="str">
        <f>IFERROR(F474 * VLOOKUP(D474, profissionais!B:D, 3, 0),"")</f>
        <v/>
      </c>
    </row>
    <row r="475">
      <c r="D475" s="4"/>
      <c r="E475" s="4"/>
      <c r="F475" s="4" t="str">
        <f>IFERROR(VLOOKUP(E475, servicos!B:C, 2, 0),"")</f>
        <v/>
      </c>
      <c r="G475" s="4" t="str">
        <f>IFERROR(F475 * VLOOKUP(D475, profissionais!B:D, 3, 0),"")</f>
        <v/>
      </c>
    </row>
    <row r="476">
      <c r="D476" s="4"/>
      <c r="E476" s="4"/>
      <c r="F476" s="4" t="str">
        <f>IFERROR(VLOOKUP(E476, servicos!B:C, 2, 0),"")</f>
        <v/>
      </c>
      <c r="G476" s="4" t="str">
        <f>IFERROR(F476 * VLOOKUP(D476, profissionais!B:D, 3, 0),"")</f>
        <v/>
      </c>
    </row>
    <row r="477">
      <c r="D477" s="4"/>
      <c r="E477" s="4"/>
      <c r="F477" s="4" t="str">
        <f>IFERROR(VLOOKUP(E477, servicos!B:C, 2, 0),"")</f>
        <v/>
      </c>
      <c r="G477" s="4" t="str">
        <f>IFERROR(F477 * VLOOKUP(D477, profissionais!B:D, 3, 0),"")</f>
        <v/>
      </c>
    </row>
    <row r="478">
      <c r="D478" s="4"/>
      <c r="E478" s="4"/>
      <c r="F478" s="4" t="str">
        <f>IFERROR(VLOOKUP(E478, servicos!B:C, 2, 0),"")</f>
        <v/>
      </c>
      <c r="G478" s="4" t="str">
        <f>IFERROR(F478 * VLOOKUP(D478, profissionais!B:D, 3, 0),"")</f>
        <v/>
      </c>
    </row>
    <row r="479">
      <c r="D479" s="4"/>
      <c r="E479" s="4"/>
      <c r="F479" s="4" t="str">
        <f>IFERROR(VLOOKUP(E479, servicos!B:C, 2, 0),"")</f>
        <v/>
      </c>
      <c r="G479" s="4" t="str">
        <f>IFERROR(F479 * VLOOKUP(D479, profissionais!B:D, 3, 0),"")</f>
        <v/>
      </c>
    </row>
    <row r="480">
      <c r="D480" s="4"/>
      <c r="E480" s="4"/>
      <c r="F480" s="4" t="str">
        <f>IFERROR(VLOOKUP(E480, servicos!B:C, 2, 0),"")</f>
        <v/>
      </c>
      <c r="G480" s="4" t="str">
        <f>IFERROR(F480 * VLOOKUP(D480, profissionais!B:D, 3, 0),"")</f>
        <v/>
      </c>
    </row>
    <row r="481">
      <c r="D481" s="4"/>
      <c r="E481" s="4"/>
      <c r="F481" s="4" t="str">
        <f>IFERROR(VLOOKUP(E481, servicos!B:C, 2, 0),"")</f>
        <v/>
      </c>
      <c r="G481" s="4" t="str">
        <f>IFERROR(F481 * VLOOKUP(D481, profissionais!B:D, 3, 0),"")</f>
        <v/>
      </c>
    </row>
    <row r="482">
      <c r="D482" s="4"/>
      <c r="E482" s="4"/>
      <c r="F482" s="4" t="str">
        <f>IFERROR(VLOOKUP(E482, servicos!B:C, 2, 0),"")</f>
        <v/>
      </c>
      <c r="G482" s="4" t="str">
        <f>IFERROR(F482 * VLOOKUP(D482, profissionais!B:D, 3, 0),"")</f>
        <v/>
      </c>
    </row>
    <row r="483">
      <c r="D483" s="4"/>
      <c r="E483" s="4"/>
      <c r="F483" s="4" t="str">
        <f>IFERROR(VLOOKUP(E483, servicos!B:C, 2, 0),"")</f>
        <v/>
      </c>
      <c r="G483" s="4" t="str">
        <f>IFERROR(F483 * VLOOKUP(D483, profissionais!B:D, 3, 0),"")</f>
        <v/>
      </c>
    </row>
    <row r="484">
      <c r="D484" s="4"/>
      <c r="E484" s="4"/>
      <c r="F484" s="4" t="str">
        <f>IFERROR(VLOOKUP(E484, servicos!B:C, 2, 0),"")</f>
        <v/>
      </c>
      <c r="G484" s="4" t="str">
        <f>IFERROR(F484 * VLOOKUP(D484, profissionais!B:D, 3, 0),"")</f>
        <v/>
      </c>
    </row>
    <row r="485">
      <c r="D485" s="4"/>
      <c r="E485" s="4"/>
      <c r="F485" s="4" t="str">
        <f>IFERROR(VLOOKUP(E485, servicos!B:C, 2, 0),"")</f>
        <v/>
      </c>
      <c r="G485" s="4" t="str">
        <f>IFERROR(F485 * VLOOKUP(D485, profissionais!B:D, 3, 0),"")</f>
        <v/>
      </c>
    </row>
    <row r="486">
      <c r="D486" s="4"/>
      <c r="E486" s="4"/>
      <c r="F486" s="4" t="str">
        <f>IFERROR(VLOOKUP(E486, servicos!B:C, 2, 0),"")</f>
        <v/>
      </c>
      <c r="G486" s="4" t="str">
        <f>IFERROR(F486 * VLOOKUP(D486, profissionais!B:D, 3, 0),"")</f>
        <v/>
      </c>
    </row>
    <row r="487">
      <c r="D487" s="4"/>
      <c r="E487" s="4"/>
      <c r="F487" s="4" t="str">
        <f>IFERROR(VLOOKUP(E487, servicos!B:C, 2, 0),"")</f>
        <v/>
      </c>
      <c r="G487" s="4" t="str">
        <f>IFERROR(F487 * VLOOKUP(D487, profissionais!B:D, 3, 0),"")</f>
        <v/>
      </c>
    </row>
    <row r="488">
      <c r="D488" s="4"/>
      <c r="E488" s="4"/>
      <c r="F488" s="4" t="str">
        <f>IFERROR(VLOOKUP(E488, servicos!B:C, 2, 0),"")</f>
        <v/>
      </c>
      <c r="G488" s="4" t="str">
        <f>IFERROR(F488 * VLOOKUP(D488, profissionais!B:D, 3, 0),"")</f>
        <v/>
      </c>
    </row>
    <row r="489">
      <c r="D489" s="4"/>
      <c r="E489" s="4"/>
      <c r="F489" s="4" t="str">
        <f>IFERROR(VLOOKUP(E489, servicos!B:C, 2, 0),"")</f>
        <v/>
      </c>
      <c r="G489" s="4" t="str">
        <f>IFERROR(F489 * VLOOKUP(D489, profissionais!B:D, 3, 0),"")</f>
        <v/>
      </c>
    </row>
    <row r="490">
      <c r="D490" s="4"/>
      <c r="E490" s="4"/>
      <c r="F490" s="4" t="str">
        <f>IFERROR(VLOOKUP(E490, servicos!B:C, 2, 0),"")</f>
        <v/>
      </c>
      <c r="G490" s="4" t="str">
        <f>IFERROR(F490 * VLOOKUP(D490, profissionais!B:D, 3, 0),"")</f>
        <v/>
      </c>
    </row>
    <row r="491">
      <c r="D491" s="4"/>
      <c r="E491" s="4"/>
      <c r="F491" s="4" t="str">
        <f>IFERROR(VLOOKUP(E491, servicos!B:C, 2, 0),"")</f>
        <v/>
      </c>
      <c r="G491" s="4" t="str">
        <f>IFERROR(F491 * VLOOKUP(D491, profissionais!B:D, 3, 0),"")</f>
        <v/>
      </c>
    </row>
    <row r="492">
      <c r="D492" s="4"/>
      <c r="E492" s="4"/>
      <c r="F492" s="4" t="str">
        <f>IFERROR(VLOOKUP(E492, servicos!B:C, 2, 0),"")</f>
        <v/>
      </c>
      <c r="G492" s="4" t="str">
        <f>IFERROR(F492 * VLOOKUP(D492, profissionais!B:D, 3, 0),"")</f>
        <v/>
      </c>
    </row>
    <row r="493">
      <c r="D493" s="4"/>
      <c r="E493" s="4"/>
      <c r="F493" s="4" t="str">
        <f>IFERROR(VLOOKUP(E493, servicos!B:C, 2, 0),"")</f>
        <v/>
      </c>
      <c r="G493" s="4" t="str">
        <f>IFERROR(F493 * VLOOKUP(D493, profissionais!B:D, 3, 0),"")</f>
        <v/>
      </c>
    </row>
    <row r="494">
      <c r="D494" s="4"/>
      <c r="E494" s="4"/>
      <c r="F494" s="4" t="str">
        <f>IFERROR(VLOOKUP(E494, servicos!B:C, 2, 0),"")</f>
        <v/>
      </c>
      <c r="G494" s="4" t="str">
        <f>IFERROR(F494 * VLOOKUP(D494, profissionais!B:D, 3, 0),"")</f>
        <v/>
      </c>
    </row>
    <row r="495">
      <c r="D495" s="4"/>
      <c r="E495" s="4"/>
      <c r="F495" s="4" t="str">
        <f>IFERROR(VLOOKUP(E495, servicos!B:C, 2, 0),"")</f>
        <v/>
      </c>
      <c r="G495" s="4" t="str">
        <f>IFERROR(F495 * VLOOKUP(D495, profissionais!B:D, 3, 0),"")</f>
        <v/>
      </c>
    </row>
    <row r="496">
      <c r="D496" s="4"/>
      <c r="E496" s="4"/>
      <c r="F496" s="4" t="str">
        <f>IFERROR(VLOOKUP(E496, servicos!B:C, 2, 0),"")</f>
        <v/>
      </c>
      <c r="G496" s="4" t="str">
        <f>IFERROR(F496 * VLOOKUP(D496, profissionais!B:D, 3, 0),"")</f>
        <v/>
      </c>
    </row>
    <row r="497">
      <c r="D497" s="4"/>
      <c r="E497" s="4"/>
      <c r="F497" s="4" t="str">
        <f>IFERROR(VLOOKUP(E497, servicos!B:C, 2, 0),"")</f>
        <v/>
      </c>
      <c r="G497" s="4" t="str">
        <f>IFERROR(F497 * VLOOKUP(D497, profissionais!B:D, 3, 0),"")</f>
        <v/>
      </c>
    </row>
    <row r="498">
      <c r="D498" s="4"/>
      <c r="E498" s="4"/>
      <c r="F498" s="4" t="str">
        <f>IFERROR(VLOOKUP(E498, servicos!B:C, 2, 0),"")</f>
        <v/>
      </c>
      <c r="G498" s="4" t="str">
        <f>IFERROR(F498 * VLOOKUP(D498, profissionais!B:D, 3, 0),"")</f>
        <v/>
      </c>
    </row>
    <row r="499">
      <c r="D499" s="4"/>
      <c r="E499" s="4"/>
      <c r="F499" s="4" t="str">
        <f>IFERROR(VLOOKUP(E499, servicos!B:C, 2, 0),"")</f>
        <v/>
      </c>
      <c r="G499" s="4" t="str">
        <f>IFERROR(F499 * VLOOKUP(D499, profissionais!B:D, 3, 0),"")</f>
        <v/>
      </c>
    </row>
    <row r="500">
      <c r="D500" s="4"/>
      <c r="E500" s="4"/>
      <c r="F500" s="4" t="str">
        <f>IFERROR(VLOOKUP(E500, servicos!B:C, 2, 0),"")</f>
        <v/>
      </c>
      <c r="G500" s="4" t="str">
        <f>IFERROR(F500 * VLOOKUP(D500, profissionais!B:D, 3, 0),"")</f>
        <v/>
      </c>
    </row>
    <row r="501">
      <c r="D501" s="4"/>
      <c r="E501" s="4"/>
      <c r="F501" s="4" t="str">
        <f>IFERROR(VLOOKUP(E501, servicos!B:C, 2, 0),"")</f>
        <v/>
      </c>
      <c r="G501" s="4" t="str">
        <f>IFERROR(F501 * VLOOKUP(D501, profissionais!B:D, 3, 0),"")</f>
        <v/>
      </c>
    </row>
    <row r="502">
      <c r="D502" s="4"/>
      <c r="E502" s="4"/>
      <c r="F502" s="4" t="str">
        <f>IFERROR(VLOOKUP(E502, servicos!B:C, 2, 0),"")</f>
        <v/>
      </c>
      <c r="G502" s="4" t="str">
        <f>IFERROR(F502 * VLOOKUP(D502, profissionais!B:D, 3, 0),"")</f>
        <v/>
      </c>
    </row>
    <row r="503">
      <c r="D503" s="4"/>
      <c r="E503" s="4"/>
      <c r="F503" s="4" t="str">
        <f>IFERROR(VLOOKUP(E503, servicos!B:C, 2, 0),"")</f>
        <v/>
      </c>
      <c r="G503" s="4" t="str">
        <f>IFERROR(F503 * VLOOKUP(D503, profissionais!B:D, 3, 0),"")</f>
        <v/>
      </c>
    </row>
    <row r="504">
      <c r="D504" s="4"/>
      <c r="E504" s="4"/>
      <c r="F504" s="4" t="str">
        <f>IFERROR(VLOOKUP(E504, servicos!B:C, 2, 0),"")</f>
        <v/>
      </c>
      <c r="G504" s="4" t="str">
        <f>IFERROR(F504 * VLOOKUP(D504, profissionais!B:D, 3, 0),"")</f>
        <v/>
      </c>
    </row>
    <row r="505">
      <c r="D505" s="4"/>
      <c r="E505" s="4"/>
      <c r="F505" s="4" t="str">
        <f>IFERROR(VLOOKUP(E505, servicos!B:C, 2, 0),"")</f>
        <v/>
      </c>
      <c r="G505" s="4" t="str">
        <f>IFERROR(F505 * VLOOKUP(D505, profissionais!B:D, 3, 0),"")</f>
        <v/>
      </c>
    </row>
    <row r="506">
      <c r="D506" s="4"/>
      <c r="E506" s="4"/>
      <c r="F506" s="4" t="str">
        <f>IFERROR(VLOOKUP(E506, servicos!B:C, 2, 0),"")</f>
        <v/>
      </c>
      <c r="G506" s="4" t="str">
        <f>IFERROR(F506 * VLOOKUP(D506, profissionais!B:D, 3, 0),"")</f>
        <v/>
      </c>
    </row>
    <row r="507">
      <c r="D507" s="4"/>
      <c r="E507" s="4"/>
      <c r="F507" s="4" t="str">
        <f>IFERROR(VLOOKUP(E507, servicos!B:C, 2, 0),"")</f>
        <v/>
      </c>
      <c r="G507" s="4" t="str">
        <f>IFERROR(F507 * VLOOKUP(D507, profissionais!B:D, 3, 0),"")</f>
        <v/>
      </c>
    </row>
    <row r="508">
      <c r="D508" s="4"/>
      <c r="E508" s="4"/>
      <c r="F508" s="4" t="str">
        <f>IFERROR(VLOOKUP(E508, servicos!B:C, 2, 0),"")</f>
        <v/>
      </c>
      <c r="G508" s="4" t="str">
        <f>IFERROR(F508 * VLOOKUP(D508, profissionais!B:D, 3, 0),"")</f>
        <v/>
      </c>
    </row>
    <row r="509">
      <c r="D509" s="4"/>
      <c r="E509" s="4"/>
      <c r="F509" s="4" t="str">
        <f>IFERROR(VLOOKUP(E509, servicos!B:C, 2, 0),"")</f>
        <v/>
      </c>
      <c r="G509" s="4" t="str">
        <f>IFERROR(F509 * VLOOKUP(D509, profissionais!B:D, 3, 0),"")</f>
        <v/>
      </c>
    </row>
    <row r="510">
      <c r="D510" s="4"/>
      <c r="E510" s="4"/>
      <c r="F510" s="4" t="str">
        <f>IFERROR(VLOOKUP(E510, servicos!B:C, 2, 0),"")</f>
        <v/>
      </c>
      <c r="G510" s="4" t="str">
        <f>IFERROR(F510 * VLOOKUP(D510, profissionais!B:D, 3, 0),"")</f>
        <v/>
      </c>
    </row>
    <row r="511">
      <c r="D511" s="4"/>
      <c r="E511" s="4"/>
      <c r="F511" s="4" t="str">
        <f>IFERROR(VLOOKUP(E511, servicos!B:C, 2, 0),"")</f>
        <v/>
      </c>
      <c r="G511" s="4" t="str">
        <f>IFERROR(F511 * VLOOKUP(D511, profissionais!B:D, 3, 0),"")</f>
        <v/>
      </c>
    </row>
    <row r="512">
      <c r="D512" s="4"/>
      <c r="E512" s="4"/>
      <c r="F512" s="4" t="str">
        <f>IFERROR(VLOOKUP(E512, servicos!B:C, 2, 0),"")</f>
        <v/>
      </c>
      <c r="G512" s="4" t="str">
        <f>IFERROR(F512 * VLOOKUP(D512, profissionais!B:D, 3, 0),"")</f>
        <v/>
      </c>
    </row>
    <row r="513">
      <c r="D513" s="4"/>
      <c r="E513" s="4"/>
      <c r="F513" s="4" t="str">
        <f>IFERROR(VLOOKUP(E513, servicos!B:C, 2, 0),"")</f>
        <v/>
      </c>
      <c r="G513" s="4" t="str">
        <f>IFERROR(F513 * VLOOKUP(D513, profissionais!B:D, 3, 0),"")</f>
        <v/>
      </c>
    </row>
    <row r="514">
      <c r="D514" s="4"/>
      <c r="E514" s="4"/>
      <c r="F514" s="4" t="str">
        <f>IFERROR(VLOOKUP(E514, servicos!B:C, 2, 0),"")</f>
        <v/>
      </c>
      <c r="G514" s="4" t="str">
        <f>IFERROR(F514 * VLOOKUP(D514, profissionais!B:D, 3, 0),"")</f>
        <v/>
      </c>
    </row>
    <row r="515">
      <c r="D515" s="4"/>
      <c r="E515" s="4"/>
      <c r="F515" s="4" t="str">
        <f>IFERROR(VLOOKUP(E515, servicos!B:C, 2, 0),"")</f>
        <v/>
      </c>
      <c r="G515" s="4" t="str">
        <f>IFERROR(F515 * VLOOKUP(D515, profissionais!B:D, 3, 0),"")</f>
        <v/>
      </c>
    </row>
    <row r="516">
      <c r="D516" s="4"/>
      <c r="E516" s="4"/>
      <c r="F516" s="4" t="str">
        <f>IFERROR(VLOOKUP(E516, servicos!B:C, 2, 0),"")</f>
        <v/>
      </c>
      <c r="G516" s="4" t="str">
        <f>IFERROR(F516 * VLOOKUP(D516, profissionais!B:D, 3, 0),"")</f>
        <v/>
      </c>
    </row>
    <row r="517">
      <c r="D517" s="4"/>
      <c r="E517" s="4"/>
      <c r="F517" s="4" t="str">
        <f>IFERROR(VLOOKUP(E517, servicos!B:C, 2, 0),"")</f>
        <v/>
      </c>
      <c r="G517" s="4" t="str">
        <f>IFERROR(F517 * VLOOKUP(D517, profissionais!B:D, 3, 0),"")</f>
        <v/>
      </c>
    </row>
    <row r="518">
      <c r="D518" s="4"/>
      <c r="E518" s="4"/>
      <c r="F518" s="4" t="str">
        <f>IFERROR(VLOOKUP(E518, servicos!B:C, 2, 0),"")</f>
        <v/>
      </c>
      <c r="G518" s="4" t="str">
        <f>IFERROR(F518 * VLOOKUP(D518, profissionais!B:D, 3, 0),"")</f>
        <v/>
      </c>
    </row>
    <row r="519">
      <c r="D519" s="4"/>
      <c r="E519" s="4"/>
      <c r="F519" s="4" t="str">
        <f>IFERROR(VLOOKUP(E519, servicos!B:C, 2, 0),"")</f>
        <v/>
      </c>
      <c r="G519" s="4" t="str">
        <f>IFERROR(F519 * VLOOKUP(D519, profissionais!B:D, 3, 0),"")</f>
        <v/>
      </c>
    </row>
    <row r="520">
      <c r="D520" s="4"/>
      <c r="E520" s="4"/>
      <c r="F520" s="4" t="str">
        <f>IFERROR(VLOOKUP(E520, servicos!B:C, 2, 0),"")</f>
        <v/>
      </c>
      <c r="G520" s="4" t="str">
        <f>IFERROR(F520 * VLOOKUP(D520, profissionais!B:D, 3, 0),"")</f>
        <v/>
      </c>
    </row>
    <row r="521">
      <c r="D521" s="4"/>
      <c r="E521" s="4"/>
      <c r="F521" s="4" t="str">
        <f>IFERROR(VLOOKUP(E521, servicos!B:C, 2, 0),"")</f>
        <v/>
      </c>
      <c r="G521" s="4" t="str">
        <f>IFERROR(F521 * VLOOKUP(D521, profissionais!B:D, 3, 0),"")</f>
        <v/>
      </c>
    </row>
    <row r="522">
      <c r="D522" s="4"/>
      <c r="E522" s="4"/>
      <c r="F522" s="4" t="str">
        <f>IFERROR(VLOOKUP(E522, servicos!B:C, 2, 0),"")</f>
        <v/>
      </c>
      <c r="G522" s="4" t="str">
        <f>IFERROR(F522 * VLOOKUP(D522, profissionais!B:D, 3, 0),"")</f>
        <v/>
      </c>
    </row>
    <row r="523">
      <c r="D523" s="4"/>
      <c r="E523" s="4"/>
      <c r="F523" s="4" t="str">
        <f>IFERROR(VLOOKUP(E523, servicos!B:C, 2, 0),"")</f>
        <v/>
      </c>
      <c r="G523" s="4" t="str">
        <f>IFERROR(F523 * VLOOKUP(D523, profissionais!B:D, 3, 0),"")</f>
        <v/>
      </c>
    </row>
    <row r="524">
      <c r="D524" s="4"/>
      <c r="E524" s="4"/>
      <c r="F524" s="4" t="str">
        <f>IFERROR(VLOOKUP(E524, servicos!B:C, 2, 0),"")</f>
        <v/>
      </c>
      <c r="G524" s="4" t="str">
        <f>IFERROR(F524 * VLOOKUP(D524, profissionais!B:D, 3, 0),"")</f>
        <v/>
      </c>
    </row>
    <row r="525">
      <c r="D525" s="4"/>
      <c r="E525" s="4"/>
      <c r="F525" s="4" t="str">
        <f>IFERROR(VLOOKUP(E525, servicos!B:C, 2, 0),"")</f>
        <v/>
      </c>
      <c r="G525" s="4" t="str">
        <f>IFERROR(F525 * VLOOKUP(D525, profissionais!B:D, 3, 0),"")</f>
        <v/>
      </c>
    </row>
    <row r="526">
      <c r="D526" s="4"/>
      <c r="E526" s="4"/>
      <c r="F526" s="4" t="str">
        <f>IFERROR(VLOOKUP(E526, servicos!B:C, 2, 0),"")</f>
        <v/>
      </c>
      <c r="G526" s="4" t="str">
        <f>IFERROR(F526 * VLOOKUP(D526, profissionais!B:D, 3, 0),"")</f>
        <v/>
      </c>
    </row>
    <row r="527">
      <c r="D527" s="4"/>
      <c r="E527" s="4"/>
      <c r="F527" s="4" t="str">
        <f>IFERROR(VLOOKUP(E527, servicos!B:C, 2, 0),"")</f>
        <v/>
      </c>
      <c r="G527" s="4" t="str">
        <f>IFERROR(F527 * VLOOKUP(D527, profissionais!B:D, 3, 0),"")</f>
        <v/>
      </c>
    </row>
    <row r="528">
      <c r="D528" s="4"/>
      <c r="E528" s="4"/>
      <c r="F528" s="4" t="str">
        <f>IFERROR(VLOOKUP(E528, servicos!B:C, 2, 0),"")</f>
        <v/>
      </c>
      <c r="G528" s="4" t="str">
        <f>IFERROR(F528 * VLOOKUP(D528, profissionais!B:D, 3, 0),"")</f>
        <v/>
      </c>
    </row>
    <row r="529">
      <c r="D529" s="4"/>
      <c r="E529" s="4"/>
      <c r="F529" s="4" t="str">
        <f>IFERROR(VLOOKUP(E529, servicos!B:C, 2, 0),"")</f>
        <v/>
      </c>
      <c r="G529" s="4" t="str">
        <f>IFERROR(F529 * VLOOKUP(D529, profissionais!B:D, 3, 0),"")</f>
        <v/>
      </c>
    </row>
    <row r="530">
      <c r="D530" s="4"/>
      <c r="E530" s="4"/>
      <c r="F530" s="4" t="str">
        <f>IFERROR(VLOOKUP(E530, servicos!B:C, 2, 0),"")</f>
        <v/>
      </c>
      <c r="G530" s="4" t="str">
        <f>IFERROR(F530 * VLOOKUP(D530, profissionais!B:D, 3, 0),"")</f>
        <v/>
      </c>
    </row>
    <row r="531">
      <c r="D531" s="4"/>
      <c r="E531" s="4"/>
      <c r="F531" s="4" t="str">
        <f>IFERROR(VLOOKUP(E531, servicos!B:C, 2, 0),"")</f>
        <v/>
      </c>
      <c r="G531" s="4" t="str">
        <f>IFERROR(F531 * VLOOKUP(D531, profissionais!B:D, 3, 0),"")</f>
        <v/>
      </c>
    </row>
    <row r="532">
      <c r="D532" s="4"/>
      <c r="E532" s="4"/>
      <c r="F532" s="4" t="str">
        <f>IFERROR(VLOOKUP(E532, servicos!B:C, 2, 0),"")</f>
        <v/>
      </c>
      <c r="G532" s="4" t="str">
        <f>IFERROR(F532 * VLOOKUP(D532, profissionais!B:D, 3, 0),"")</f>
        <v/>
      </c>
    </row>
    <row r="533">
      <c r="D533" s="4"/>
      <c r="E533" s="4"/>
      <c r="F533" s="4" t="str">
        <f>IFERROR(VLOOKUP(E533, servicos!B:C, 2, 0),"")</f>
        <v/>
      </c>
      <c r="G533" s="4" t="str">
        <f>IFERROR(F533 * VLOOKUP(D533, profissionais!B:D, 3, 0),"")</f>
        <v/>
      </c>
    </row>
    <row r="534">
      <c r="D534" s="4"/>
      <c r="E534" s="4"/>
      <c r="F534" s="4" t="str">
        <f>IFERROR(VLOOKUP(E534, servicos!B:C, 2, 0),"")</f>
        <v/>
      </c>
      <c r="G534" s="4" t="str">
        <f>IFERROR(F534 * VLOOKUP(D534, profissionais!B:D, 3, 0),"")</f>
        <v/>
      </c>
    </row>
    <row r="535">
      <c r="D535" s="4"/>
      <c r="E535" s="4"/>
      <c r="F535" s="4" t="str">
        <f>IFERROR(VLOOKUP(E535, servicos!B:C, 2, 0),"")</f>
        <v/>
      </c>
      <c r="G535" s="4" t="str">
        <f>IFERROR(F535 * VLOOKUP(D535, profissionais!B:D, 3, 0),"")</f>
        <v/>
      </c>
    </row>
    <row r="536">
      <c r="D536" s="4"/>
      <c r="E536" s="4"/>
      <c r="F536" s="4" t="str">
        <f>IFERROR(VLOOKUP(E536, servicos!B:C, 2, 0),"")</f>
        <v/>
      </c>
      <c r="G536" s="4" t="str">
        <f>IFERROR(F536 * VLOOKUP(D536, profissionais!B:D, 3, 0),"")</f>
        <v/>
      </c>
    </row>
    <row r="537">
      <c r="D537" s="4"/>
      <c r="E537" s="4"/>
      <c r="F537" s="4" t="str">
        <f>IFERROR(VLOOKUP(E537, servicos!B:C, 2, 0),"")</f>
        <v/>
      </c>
      <c r="G537" s="4" t="str">
        <f>IFERROR(F537 * VLOOKUP(D537, profissionais!B:D, 3, 0),"")</f>
        <v/>
      </c>
    </row>
    <row r="538">
      <c r="D538" s="4"/>
      <c r="E538" s="4"/>
      <c r="F538" s="4" t="str">
        <f>IFERROR(VLOOKUP(E538, servicos!B:C, 2, 0),"")</f>
        <v/>
      </c>
      <c r="G538" s="4" t="str">
        <f>IFERROR(F538 * VLOOKUP(D538, profissionais!B:D, 3, 0),"")</f>
        <v/>
      </c>
    </row>
    <row r="539">
      <c r="D539" s="4"/>
      <c r="E539" s="4"/>
      <c r="F539" s="4" t="str">
        <f>IFERROR(VLOOKUP(E539, servicos!B:C, 2, 0),"")</f>
        <v/>
      </c>
      <c r="G539" s="4" t="str">
        <f>IFERROR(F539 * VLOOKUP(D539, profissionais!B:D, 3, 0),"")</f>
        <v/>
      </c>
    </row>
    <row r="540">
      <c r="D540" s="4"/>
      <c r="E540" s="4"/>
      <c r="F540" s="4" t="str">
        <f>IFERROR(VLOOKUP(E540, servicos!B:C, 2, 0),"")</f>
        <v/>
      </c>
      <c r="G540" s="4" t="str">
        <f>IFERROR(F540 * VLOOKUP(D540, profissionais!B:D, 3, 0),"")</f>
        <v/>
      </c>
    </row>
    <row r="541">
      <c r="D541" s="4"/>
      <c r="E541" s="4"/>
      <c r="F541" s="4" t="str">
        <f>IFERROR(VLOOKUP(E541, servicos!B:C, 2, 0),"")</f>
        <v/>
      </c>
      <c r="G541" s="4" t="str">
        <f>IFERROR(F541 * VLOOKUP(D541, profissionais!B:D, 3, 0),"")</f>
        <v/>
      </c>
    </row>
    <row r="542">
      <c r="D542" s="4"/>
      <c r="E542" s="4"/>
      <c r="F542" s="4" t="str">
        <f>IFERROR(VLOOKUP(E542, servicos!B:C, 2, 0),"")</f>
        <v/>
      </c>
      <c r="G542" s="4" t="str">
        <f>IFERROR(F542 * VLOOKUP(D542, profissionais!B:D, 3, 0),"")</f>
        <v/>
      </c>
    </row>
    <row r="543">
      <c r="D543" s="4"/>
      <c r="E543" s="4"/>
      <c r="F543" s="4" t="str">
        <f>IFERROR(VLOOKUP(E543, servicos!B:C, 2, 0),"")</f>
        <v/>
      </c>
      <c r="G543" s="4" t="str">
        <f>IFERROR(F543 * VLOOKUP(D543, profissionais!B:D, 3, 0),"")</f>
        <v/>
      </c>
    </row>
    <row r="544">
      <c r="D544" s="4"/>
      <c r="E544" s="4"/>
      <c r="F544" s="4" t="str">
        <f>IFERROR(VLOOKUP(E544, servicos!B:C, 2, 0),"")</f>
        <v/>
      </c>
      <c r="G544" s="4" t="str">
        <f>IFERROR(F544 * VLOOKUP(D544, profissionais!B:D, 3, 0),"")</f>
        <v/>
      </c>
    </row>
    <row r="545">
      <c r="D545" s="4"/>
      <c r="E545" s="4"/>
      <c r="F545" s="4" t="str">
        <f>IFERROR(VLOOKUP(E545, servicos!B:C, 2, 0),"")</f>
        <v/>
      </c>
      <c r="G545" s="4" t="str">
        <f>IFERROR(F545 * VLOOKUP(D545, profissionais!B:D, 3, 0),"")</f>
        <v/>
      </c>
    </row>
    <row r="546">
      <c r="D546" s="4"/>
      <c r="E546" s="4"/>
      <c r="F546" s="4" t="str">
        <f>IFERROR(VLOOKUP(E546, servicos!B:C, 2, 0),"")</f>
        <v/>
      </c>
      <c r="G546" s="4" t="str">
        <f>IFERROR(F546 * VLOOKUP(D546, profissionais!B:D, 3, 0),"")</f>
        <v/>
      </c>
    </row>
    <row r="547">
      <c r="D547" s="4"/>
      <c r="E547" s="4"/>
      <c r="F547" s="4" t="str">
        <f>IFERROR(VLOOKUP(E547, servicos!B:C, 2, 0),"")</f>
        <v/>
      </c>
      <c r="G547" s="4" t="str">
        <f>IFERROR(F547 * VLOOKUP(D547, profissionais!B:D, 3, 0),"")</f>
        <v/>
      </c>
    </row>
    <row r="548">
      <c r="D548" s="4"/>
      <c r="E548" s="4"/>
      <c r="F548" s="4" t="str">
        <f>IFERROR(VLOOKUP(E548, servicos!B:C, 2, 0),"")</f>
        <v/>
      </c>
      <c r="G548" s="4" t="str">
        <f>IFERROR(F548 * VLOOKUP(D548, profissionais!B:D, 3, 0),"")</f>
        <v/>
      </c>
    </row>
    <row r="549">
      <c r="D549" s="4"/>
      <c r="E549" s="4"/>
      <c r="F549" s="4" t="str">
        <f>IFERROR(VLOOKUP(E549, servicos!B:C, 2, 0),"")</f>
        <v/>
      </c>
      <c r="G549" s="4" t="str">
        <f>IFERROR(F549 * VLOOKUP(D549, profissionais!B:D, 3, 0),"")</f>
        <v/>
      </c>
    </row>
    <row r="550">
      <c r="D550" s="4"/>
      <c r="E550" s="4"/>
      <c r="F550" s="4" t="str">
        <f>IFERROR(VLOOKUP(E550, servicos!B:C, 2, 0),"")</f>
        <v/>
      </c>
      <c r="G550" s="4" t="str">
        <f>IFERROR(F550 * VLOOKUP(D550, profissionais!B:D, 3, 0),"")</f>
        <v/>
      </c>
    </row>
    <row r="551">
      <c r="D551" s="4"/>
      <c r="E551" s="4"/>
      <c r="F551" s="4" t="str">
        <f>IFERROR(VLOOKUP(E551, servicos!B:C, 2, 0),"")</f>
        <v/>
      </c>
      <c r="G551" s="4" t="str">
        <f>IFERROR(F551 * VLOOKUP(D551, profissionais!B:D, 3, 0),"")</f>
        <v/>
      </c>
    </row>
    <row r="552">
      <c r="D552" s="4"/>
      <c r="E552" s="4"/>
      <c r="F552" s="4" t="str">
        <f>IFERROR(VLOOKUP(E552, servicos!B:C, 2, 0),"")</f>
        <v/>
      </c>
      <c r="G552" s="4" t="str">
        <f>IFERROR(F552 * VLOOKUP(D552, profissionais!B:D, 3, 0),"")</f>
        <v/>
      </c>
    </row>
    <row r="553">
      <c r="D553" s="4"/>
      <c r="E553" s="4"/>
      <c r="F553" s="4" t="str">
        <f>IFERROR(VLOOKUP(E553, servicos!B:C, 2, 0),"")</f>
        <v/>
      </c>
      <c r="G553" s="4" t="str">
        <f>IFERROR(F553 * VLOOKUP(D553, profissionais!B:D, 3, 0),"")</f>
        <v/>
      </c>
    </row>
    <row r="554">
      <c r="D554" s="4"/>
      <c r="E554" s="4"/>
      <c r="F554" s="4" t="str">
        <f>IFERROR(VLOOKUP(E554, servicos!B:C, 2, 0),"")</f>
        <v/>
      </c>
      <c r="G554" s="4" t="str">
        <f>IFERROR(F554 * VLOOKUP(D554, profissionais!B:D, 3, 0),"")</f>
        <v/>
      </c>
    </row>
    <row r="555">
      <c r="D555" s="4"/>
      <c r="E555" s="4"/>
      <c r="F555" s="4" t="str">
        <f>IFERROR(VLOOKUP(E555, servicos!B:C, 2, 0),"")</f>
        <v/>
      </c>
      <c r="G555" s="4" t="str">
        <f>IFERROR(F555 * VLOOKUP(D555, profissionais!B:D, 3, 0),"")</f>
        <v/>
      </c>
    </row>
    <row r="556">
      <c r="D556" s="4"/>
      <c r="E556" s="4"/>
      <c r="F556" s="4" t="str">
        <f>IFERROR(VLOOKUP(E556, servicos!B:C, 2, 0),"")</f>
        <v/>
      </c>
      <c r="G556" s="4" t="str">
        <f>IFERROR(F556 * VLOOKUP(D556, profissionais!B:D, 3, 0),"")</f>
        <v/>
      </c>
    </row>
    <row r="557">
      <c r="D557" s="4"/>
      <c r="E557" s="4"/>
      <c r="F557" s="4" t="str">
        <f>IFERROR(VLOOKUP(E557, servicos!B:C, 2, 0),"")</f>
        <v/>
      </c>
      <c r="G557" s="4" t="str">
        <f>IFERROR(F557 * VLOOKUP(D557, profissionais!B:D, 3, 0),"")</f>
        <v/>
      </c>
    </row>
    <row r="558">
      <c r="D558" s="4"/>
      <c r="E558" s="4"/>
      <c r="F558" s="4" t="str">
        <f>IFERROR(VLOOKUP(E558, servicos!B:C, 2, 0),"")</f>
        <v/>
      </c>
      <c r="G558" s="4" t="str">
        <f>IFERROR(F558 * VLOOKUP(D558, profissionais!B:D, 3, 0),"")</f>
        <v/>
      </c>
    </row>
    <row r="559">
      <c r="D559" s="4"/>
      <c r="E559" s="4"/>
      <c r="F559" s="4" t="str">
        <f>IFERROR(VLOOKUP(E559, servicos!B:C, 2, 0),"")</f>
        <v/>
      </c>
      <c r="G559" s="4" t="str">
        <f>IFERROR(F559 * VLOOKUP(D559, profissionais!B:D, 3, 0),"")</f>
        <v/>
      </c>
    </row>
    <row r="560">
      <c r="D560" s="4"/>
      <c r="E560" s="4"/>
      <c r="F560" s="4" t="str">
        <f>IFERROR(VLOOKUP(E560, servicos!B:C, 2, 0),"")</f>
        <v/>
      </c>
      <c r="G560" s="4" t="str">
        <f>IFERROR(F560 * VLOOKUP(D560, profissionais!B:D, 3, 0),"")</f>
        <v/>
      </c>
    </row>
    <row r="561">
      <c r="D561" s="4"/>
      <c r="E561" s="4"/>
      <c r="F561" s="4" t="str">
        <f>IFERROR(VLOOKUP(E561, servicos!B:C, 2, 0),"")</f>
        <v/>
      </c>
      <c r="G561" s="4" t="str">
        <f>IFERROR(F561 * VLOOKUP(D561, profissionais!B:D, 3, 0),"")</f>
        <v/>
      </c>
    </row>
    <row r="562">
      <c r="D562" s="4"/>
      <c r="E562" s="4"/>
      <c r="F562" s="4" t="str">
        <f>IFERROR(VLOOKUP(E562, servicos!B:C, 2, 0),"")</f>
        <v/>
      </c>
      <c r="G562" s="4" t="str">
        <f>IFERROR(F562 * VLOOKUP(D562, profissionais!B:D, 3, 0),"")</f>
        <v/>
      </c>
    </row>
    <row r="563">
      <c r="D563" s="4"/>
      <c r="E563" s="4"/>
      <c r="F563" s="4" t="str">
        <f>IFERROR(VLOOKUP(E563, servicos!B:C, 2, 0),"")</f>
        <v/>
      </c>
      <c r="G563" s="4" t="str">
        <f>IFERROR(F563 * VLOOKUP(D563, profissionais!B:D, 3, 0),"")</f>
        <v/>
      </c>
    </row>
    <row r="564">
      <c r="D564" s="4"/>
      <c r="E564" s="4"/>
      <c r="F564" s="4" t="str">
        <f>IFERROR(VLOOKUP(E564, servicos!B:C, 2, 0),"")</f>
        <v/>
      </c>
      <c r="G564" s="4" t="str">
        <f>IFERROR(F564 * VLOOKUP(D564, profissionais!B:D, 3, 0),"")</f>
        <v/>
      </c>
    </row>
    <row r="565">
      <c r="D565" s="4"/>
      <c r="E565" s="4"/>
      <c r="F565" s="4" t="str">
        <f>IFERROR(VLOOKUP(E565, servicos!B:C, 2, 0),"")</f>
        <v/>
      </c>
      <c r="G565" s="4" t="str">
        <f>IFERROR(F565 * VLOOKUP(D565, profissionais!B:D, 3, 0),"")</f>
        <v/>
      </c>
    </row>
    <row r="566">
      <c r="D566" s="4"/>
      <c r="E566" s="4"/>
      <c r="F566" s="4" t="str">
        <f>IFERROR(VLOOKUP(E566, servicos!B:C, 2, 0),"")</f>
        <v/>
      </c>
      <c r="G566" s="4" t="str">
        <f>IFERROR(F566 * VLOOKUP(D566, profissionais!B:D, 3, 0),"")</f>
        <v/>
      </c>
    </row>
    <row r="567">
      <c r="D567" s="4"/>
      <c r="E567" s="4"/>
      <c r="F567" s="4" t="str">
        <f>IFERROR(VLOOKUP(E567, servicos!B:C, 2, 0),"")</f>
        <v/>
      </c>
      <c r="G567" s="4" t="str">
        <f>IFERROR(F567 * VLOOKUP(D567, profissionais!B:D, 3, 0),"")</f>
        <v/>
      </c>
    </row>
    <row r="568">
      <c r="D568" s="4"/>
      <c r="E568" s="4"/>
      <c r="F568" s="4" t="str">
        <f>IFERROR(VLOOKUP(E568, servicos!B:C, 2, 0),"")</f>
        <v/>
      </c>
      <c r="G568" s="4" t="str">
        <f>IFERROR(F568 * VLOOKUP(D568, profissionais!B:D, 3, 0),"")</f>
        <v/>
      </c>
    </row>
    <row r="569">
      <c r="D569" s="4"/>
      <c r="E569" s="4"/>
      <c r="F569" s="4" t="str">
        <f>IFERROR(VLOOKUP(E569, servicos!B:C, 2, 0),"")</f>
        <v/>
      </c>
      <c r="G569" s="4" t="str">
        <f>IFERROR(F569 * VLOOKUP(D569, profissionais!B:D, 3, 0),"")</f>
        <v/>
      </c>
    </row>
    <row r="570">
      <c r="D570" s="4"/>
      <c r="E570" s="4"/>
      <c r="F570" s="4" t="str">
        <f>IFERROR(VLOOKUP(E570, servicos!B:C, 2, 0),"")</f>
        <v/>
      </c>
      <c r="G570" s="4" t="str">
        <f>IFERROR(F570 * VLOOKUP(D570, profissionais!B:D, 3, 0),"")</f>
        <v/>
      </c>
    </row>
    <row r="571">
      <c r="D571" s="4"/>
      <c r="E571" s="4"/>
      <c r="F571" s="4" t="str">
        <f>IFERROR(VLOOKUP(E571, servicos!B:C, 2, 0),"")</f>
        <v/>
      </c>
      <c r="G571" s="4" t="str">
        <f>IFERROR(F571 * VLOOKUP(D571, profissionais!B:D, 3, 0),"")</f>
        <v/>
      </c>
    </row>
    <row r="572">
      <c r="D572" s="4"/>
      <c r="E572" s="4"/>
      <c r="F572" s="4" t="str">
        <f>IFERROR(VLOOKUP(E572, servicos!B:C, 2, 0),"")</f>
        <v/>
      </c>
      <c r="G572" s="4" t="str">
        <f>IFERROR(F572 * VLOOKUP(D572, profissionais!B:D, 3, 0),"")</f>
        <v/>
      </c>
    </row>
    <row r="573">
      <c r="D573" s="4"/>
      <c r="E573" s="4"/>
      <c r="F573" s="4" t="str">
        <f>IFERROR(VLOOKUP(E573, servicos!B:C, 2, 0),"")</f>
        <v/>
      </c>
      <c r="G573" s="4" t="str">
        <f>IFERROR(F573 * VLOOKUP(D573, profissionais!B:D, 3, 0),"")</f>
        <v/>
      </c>
    </row>
    <row r="574">
      <c r="D574" s="4"/>
      <c r="E574" s="4"/>
      <c r="F574" s="4" t="str">
        <f>IFERROR(VLOOKUP(E574, servicos!B:C, 2, 0),"")</f>
        <v/>
      </c>
      <c r="G574" s="4" t="str">
        <f>IFERROR(F574 * VLOOKUP(D574, profissionais!B:D, 3, 0),"")</f>
        <v/>
      </c>
    </row>
    <row r="575">
      <c r="D575" s="4"/>
      <c r="E575" s="4"/>
      <c r="F575" s="4" t="str">
        <f>IFERROR(VLOOKUP(E575, servicos!B:C, 2, 0),"")</f>
        <v/>
      </c>
      <c r="G575" s="4" t="str">
        <f>IFERROR(F575 * VLOOKUP(D575, profissionais!B:D, 3, 0),"")</f>
        <v/>
      </c>
    </row>
    <row r="576">
      <c r="D576" s="4"/>
      <c r="E576" s="4"/>
      <c r="F576" s="4" t="str">
        <f>IFERROR(VLOOKUP(E576, servicos!B:C, 2, 0),"")</f>
        <v/>
      </c>
      <c r="G576" s="4" t="str">
        <f>IFERROR(F576 * VLOOKUP(D576, profissionais!B:D, 3, 0),"")</f>
        <v/>
      </c>
    </row>
    <row r="577">
      <c r="D577" s="4"/>
      <c r="E577" s="4"/>
      <c r="F577" s="4" t="str">
        <f>IFERROR(VLOOKUP(E577, servicos!B:C, 2, 0),"")</f>
        <v/>
      </c>
      <c r="G577" s="4" t="str">
        <f>IFERROR(F577 * VLOOKUP(D577, profissionais!B:D, 3, 0),"")</f>
        <v/>
      </c>
    </row>
    <row r="578">
      <c r="D578" s="4"/>
      <c r="E578" s="4"/>
      <c r="F578" s="4" t="str">
        <f>IFERROR(VLOOKUP(E578, servicos!B:C, 2, 0),"")</f>
        <v/>
      </c>
      <c r="G578" s="4" t="str">
        <f>IFERROR(F578 * VLOOKUP(D578, profissionais!B:D, 3, 0),"")</f>
        <v/>
      </c>
    </row>
    <row r="579">
      <c r="D579" s="4"/>
      <c r="E579" s="4"/>
      <c r="F579" s="4" t="str">
        <f>IFERROR(VLOOKUP(E579, servicos!B:C, 2, 0),"")</f>
        <v/>
      </c>
      <c r="G579" s="4" t="str">
        <f>IFERROR(F579 * VLOOKUP(D579, profissionais!B:D, 3, 0),"")</f>
        <v/>
      </c>
    </row>
    <row r="580">
      <c r="D580" s="4"/>
      <c r="E580" s="4"/>
      <c r="F580" s="4" t="str">
        <f>IFERROR(VLOOKUP(E580, servicos!B:C, 2, 0),"")</f>
        <v/>
      </c>
      <c r="G580" s="4" t="str">
        <f>IFERROR(F580 * VLOOKUP(D580, profissionais!B:D, 3, 0),"")</f>
        <v/>
      </c>
    </row>
    <row r="581">
      <c r="D581" s="4"/>
      <c r="E581" s="4"/>
      <c r="F581" s="4" t="str">
        <f>IFERROR(VLOOKUP(E581, servicos!B:C, 2, 0),"")</f>
        <v/>
      </c>
      <c r="G581" s="4" t="str">
        <f>IFERROR(F581 * VLOOKUP(D581, profissionais!B:D, 3, 0),"")</f>
        <v/>
      </c>
    </row>
    <row r="582">
      <c r="D582" s="4"/>
      <c r="E582" s="4"/>
      <c r="F582" s="4" t="str">
        <f>IFERROR(VLOOKUP(E582, servicos!B:C, 2, 0),"")</f>
        <v/>
      </c>
      <c r="G582" s="4" t="str">
        <f>IFERROR(F582 * VLOOKUP(D582, profissionais!B:D, 3, 0),"")</f>
        <v/>
      </c>
    </row>
    <row r="583">
      <c r="D583" s="4"/>
      <c r="E583" s="4"/>
      <c r="F583" s="4" t="str">
        <f>IFERROR(VLOOKUP(E583, servicos!B:C, 2, 0),"")</f>
        <v/>
      </c>
      <c r="G583" s="4" t="str">
        <f>IFERROR(F583 * VLOOKUP(D583, profissionais!B:D, 3, 0),"")</f>
        <v/>
      </c>
    </row>
    <row r="584">
      <c r="D584" s="4"/>
      <c r="E584" s="4"/>
      <c r="F584" s="4" t="str">
        <f>IFERROR(VLOOKUP(E584, servicos!B:C, 2, 0),"")</f>
        <v/>
      </c>
      <c r="G584" s="4" t="str">
        <f>IFERROR(F584 * VLOOKUP(D584, profissionais!B:D, 3, 0),"")</f>
        <v/>
      </c>
    </row>
    <row r="585">
      <c r="D585" s="4"/>
      <c r="E585" s="4"/>
      <c r="F585" s="4" t="str">
        <f>IFERROR(VLOOKUP(E585, servicos!B:C, 2, 0),"")</f>
        <v/>
      </c>
      <c r="G585" s="4" t="str">
        <f>IFERROR(F585 * VLOOKUP(D585, profissionais!B:D, 3, 0),"")</f>
        <v/>
      </c>
    </row>
    <row r="586">
      <c r="D586" s="4"/>
      <c r="E586" s="4"/>
      <c r="F586" s="4" t="str">
        <f>IFERROR(VLOOKUP(E586, servicos!B:C, 2, 0),"")</f>
        <v/>
      </c>
      <c r="G586" s="4" t="str">
        <f>IFERROR(F586 * VLOOKUP(D586, profissionais!B:D, 3, 0),"")</f>
        <v/>
      </c>
    </row>
    <row r="587">
      <c r="D587" s="4"/>
      <c r="E587" s="4"/>
      <c r="F587" s="4" t="str">
        <f>IFERROR(VLOOKUP(E587, servicos!B:C, 2, 0),"")</f>
        <v/>
      </c>
      <c r="G587" s="4" t="str">
        <f>IFERROR(F587 * VLOOKUP(D587, profissionais!B:D, 3, 0),"")</f>
        <v/>
      </c>
    </row>
    <row r="588">
      <c r="D588" s="4"/>
      <c r="E588" s="4"/>
      <c r="F588" s="4" t="str">
        <f>IFERROR(VLOOKUP(E588, servicos!B:C, 2, 0),"")</f>
        <v/>
      </c>
      <c r="G588" s="4" t="str">
        <f>IFERROR(F588 * VLOOKUP(D588, profissionais!B:D, 3, 0),"")</f>
        <v/>
      </c>
    </row>
    <row r="589">
      <c r="D589" s="4"/>
      <c r="E589" s="4"/>
      <c r="F589" s="4" t="str">
        <f>IFERROR(VLOOKUP(E589, servicos!B:C, 2, 0),"")</f>
        <v/>
      </c>
      <c r="G589" s="4" t="str">
        <f>IFERROR(F589 * VLOOKUP(D589, profissionais!B:D, 3, 0),"")</f>
        <v/>
      </c>
    </row>
    <row r="590">
      <c r="D590" s="4"/>
      <c r="E590" s="4"/>
      <c r="F590" s="4" t="str">
        <f>IFERROR(VLOOKUP(E590, servicos!B:C, 2, 0),"")</f>
        <v/>
      </c>
      <c r="G590" s="4" t="str">
        <f>IFERROR(F590 * VLOOKUP(D590, profissionais!B:D, 3, 0),"")</f>
        <v/>
      </c>
    </row>
    <row r="591">
      <c r="D591" s="4"/>
      <c r="E591" s="4"/>
      <c r="F591" s="4" t="str">
        <f>IFERROR(VLOOKUP(E591, servicos!B:C, 2, 0),"")</f>
        <v/>
      </c>
      <c r="G591" s="4" t="str">
        <f>IFERROR(F591 * VLOOKUP(D591, profissionais!B:D, 3, 0),"")</f>
        <v/>
      </c>
    </row>
    <row r="592">
      <c r="D592" s="4"/>
      <c r="E592" s="4"/>
      <c r="F592" s="4" t="str">
        <f>IFERROR(VLOOKUP(E592, servicos!B:C, 2, 0),"")</f>
        <v/>
      </c>
      <c r="G592" s="4" t="str">
        <f>IFERROR(F592 * VLOOKUP(D592, profissionais!B:D, 3, 0),"")</f>
        <v/>
      </c>
    </row>
    <row r="593">
      <c r="D593" s="4"/>
      <c r="E593" s="4"/>
      <c r="F593" s="4" t="str">
        <f>IFERROR(VLOOKUP(E593, servicos!B:C, 2, 0),"")</f>
        <v/>
      </c>
      <c r="G593" s="4" t="str">
        <f>IFERROR(F593 * VLOOKUP(D593, profissionais!B:D, 3, 0),"")</f>
        <v/>
      </c>
    </row>
    <row r="594">
      <c r="D594" s="4"/>
      <c r="E594" s="4"/>
      <c r="F594" s="4" t="str">
        <f>IFERROR(VLOOKUP(E594, servicos!B:C, 2, 0),"")</f>
        <v/>
      </c>
      <c r="G594" s="4" t="str">
        <f>IFERROR(F594 * VLOOKUP(D594, profissionais!B:D, 3, 0),"")</f>
        <v/>
      </c>
    </row>
    <row r="595">
      <c r="D595" s="4"/>
      <c r="E595" s="4"/>
      <c r="F595" s="4" t="str">
        <f>IFERROR(VLOOKUP(E595, servicos!B:C, 2, 0),"")</f>
        <v/>
      </c>
      <c r="G595" s="4" t="str">
        <f>IFERROR(F595 * VLOOKUP(D595, profissionais!B:D, 3, 0),"")</f>
        <v/>
      </c>
    </row>
    <row r="596">
      <c r="D596" s="4"/>
      <c r="E596" s="4"/>
      <c r="F596" s="4" t="str">
        <f>IFERROR(VLOOKUP(E596, servicos!B:C, 2, 0),"")</f>
        <v/>
      </c>
      <c r="G596" s="4" t="str">
        <f>IFERROR(F596 * VLOOKUP(D596, profissionais!B:D, 3, 0),"")</f>
        <v/>
      </c>
    </row>
    <row r="597">
      <c r="D597" s="4"/>
      <c r="E597" s="4"/>
      <c r="F597" s="4" t="str">
        <f>IFERROR(VLOOKUP(E597, servicos!B:C, 2, 0),"")</f>
        <v/>
      </c>
      <c r="G597" s="4" t="str">
        <f>IFERROR(F597 * VLOOKUP(D597, profissionais!B:D, 3, 0),"")</f>
        <v/>
      </c>
    </row>
    <row r="598">
      <c r="D598" s="4"/>
      <c r="E598" s="4"/>
      <c r="F598" s="4" t="str">
        <f>IFERROR(VLOOKUP(E598, servicos!B:C, 2, 0),"")</f>
        <v/>
      </c>
      <c r="G598" s="4" t="str">
        <f>IFERROR(F598 * VLOOKUP(D598, profissionais!B:D, 3, 0),"")</f>
        <v/>
      </c>
    </row>
    <row r="599">
      <c r="D599" s="4"/>
      <c r="E599" s="4"/>
      <c r="F599" s="4" t="str">
        <f>IFERROR(VLOOKUP(E599, servicos!B:C, 2, 0),"")</f>
        <v/>
      </c>
      <c r="G599" s="4" t="str">
        <f>IFERROR(F599 * VLOOKUP(D599, profissionais!B:D, 3, 0),"")</f>
        <v/>
      </c>
    </row>
    <row r="600">
      <c r="D600" s="4"/>
      <c r="E600" s="4"/>
      <c r="F600" s="4" t="str">
        <f>IFERROR(VLOOKUP(E600, servicos!B:C, 2, 0),"")</f>
        <v/>
      </c>
      <c r="G600" s="4" t="str">
        <f>IFERROR(F600 * VLOOKUP(D600, profissionais!B:D, 3, 0),"")</f>
        <v/>
      </c>
    </row>
    <row r="601">
      <c r="D601" s="4"/>
      <c r="E601" s="4"/>
      <c r="F601" s="4" t="str">
        <f>IFERROR(VLOOKUP(E601, servicos!B:C, 2, 0),"")</f>
        <v/>
      </c>
      <c r="G601" s="4" t="str">
        <f>IFERROR(F601 * VLOOKUP(D601, profissionais!B:D, 3, 0),"")</f>
        <v/>
      </c>
    </row>
    <row r="602">
      <c r="D602" s="4"/>
      <c r="E602" s="4"/>
      <c r="F602" s="4" t="str">
        <f>IFERROR(VLOOKUP(E602, servicos!B:C, 2, 0),"")</f>
        <v/>
      </c>
      <c r="G602" s="4" t="str">
        <f>IFERROR(F602 * VLOOKUP(D602, profissionais!B:D, 3, 0),"")</f>
        <v/>
      </c>
    </row>
    <row r="603">
      <c r="D603" s="4"/>
      <c r="E603" s="4"/>
      <c r="F603" s="4" t="str">
        <f>IFERROR(VLOOKUP(E603, servicos!B:C, 2, 0),"")</f>
        <v/>
      </c>
      <c r="G603" s="4" t="str">
        <f>IFERROR(F603 * VLOOKUP(D603, profissionais!B:D, 3, 0),"")</f>
        <v/>
      </c>
    </row>
    <row r="604">
      <c r="D604" s="4"/>
      <c r="E604" s="4"/>
      <c r="F604" s="4" t="str">
        <f>IFERROR(VLOOKUP(E604, servicos!B:C, 2, 0),"")</f>
        <v/>
      </c>
      <c r="G604" s="4" t="str">
        <f>IFERROR(F604 * VLOOKUP(D604, profissionais!B:D, 3, 0),"")</f>
        <v/>
      </c>
    </row>
    <row r="605">
      <c r="D605" s="4"/>
      <c r="E605" s="4"/>
      <c r="F605" s="4" t="str">
        <f>IFERROR(VLOOKUP(E605, servicos!B:C, 2, 0),"")</f>
        <v/>
      </c>
      <c r="G605" s="4" t="str">
        <f>IFERROR(F605 * VLOOKUP(D605, profissionais!B:D, 3, 0),"")</f>
        <v/>
      </c>
    </row>
    <row r="606">
      <c r="D606" s="4"/>
      <c r="E606" s="4"/>
      <c r="F606" s="4" t="str">
        <f>IFERROR(VLOOKUP(E606, servicos!B:C, 2, 0),"")</f>
        <v/>
      </c>
      <c r="G606" s="4" t="str">
        <f>IFERROR(F606 * VLOOKUP(D606, profissionais!B:D, 3, 0),"")</f>
        <v/>
      </c>
    </row>
    <row r="607">
      <c r="D607" s="4"/>
      <c r="E607" s="4"/>
      <c r="F607" s="4" t="str">
        <f>IFERROR(VLOOKUP(E607, servicos!B:C, 2, 0),"")</f>
        <v/>
      </c>
      <c r="G607" s="4" t="str">
        <f>IFERROR(F607 * VLOOKUP(D607, profissionais!B:D, 3, 0),"")</f>
        <v/>
      </c>
    </row>
    <row r="608">
      <c r="D608" s="4"/>
      <c r="E608" s="4"/>
      <c r="F608" s="4" t="str">
        <f>IFERROR(VLOOKUP(E608, servicos!B:C, 2, 0),"")</f>
        <v/>
      </c>
      <c r="G608" s="4" t="str">
        <f>IFERROR(F608 * VLOOKUP(D608, profissionais!B:D, 3, 0),"")</f>
        <v/>
      </c>
    </row>
    <row r="609">
      <c r="D609" s="4"/>
      <c r="E609" s="4"/>
      <c r="F609" s="4" t="str">
        <f>IFERROR(VLOOKUP(E609, servicos!B:C, 2, 0),"")</f>
        <v/>
      </c>
      <c r="G609" s="4" t="str">
        <f>IFERROR(F609 * VLOOKUP(D609, profissionais!B:D, 3, 0),"")</f>
        <v/>
      </c>
    </row>
    <row r="610">
      <c r="D610" s="4"/>
      <c r="E610" s="4"/>
      <c r="F610" s="4" t="str">
        <f>IFERROR(VLOOKUP(E610, servicos!B:C, 2, 0),"")</f>
        <v/>
      </c>
      <c r="G610" s="4" t="str">
        <f>IFERROR(F610 * VLOOKUP(D610, profissionais!B:D, 3, 0),"")</f>
        <v/>
      </c>
    </row>
    <row r="611">
      <c r="D611" s="4"/>
      <c r="E611" s="4"/>
      <c r="F611" s="4" t="str">
        <f>IFERROR(VLOOKUP(E611, servicos!B:C, 2, 0),"")</f>
        <v/>
      </c>
      <c r="G611" s="4" t="str">
        <f>IFERROR(F611 * VLOOKUP(D611, profissionais!B:D, 3, 0),"")</f>
        <v/>
      </c>
    </row>
    <row r="612">
      <c r="D612" s="4"/>
      <c r="E612" s="4"/>
      <c r="F612" s="4" t="str">
        <f>IFERROR(VLOOKUP(E612, servicos!B:C, 2, 0),"")</f>
        <v/>
      </c>
      <c r="G612" s="4" t="str">
        <f>IFERROR(F612 * VLOOKUP(D612, profissionais!B:D, 3, 0),"")</f>
        <v/>
      </c>
    </row>
    <row r="613">
      <c r="D613" s="4"/>
      <c r="E613" s="4"/>
      <c r="F613" s="4" t="str">
        <f>IFERROR(VLOOKUP(E613, servicos!B:C, 2, 0),"")</f>
        <v/>
      </c>
      <c r="G613" s="4" t="str">
        <f>IFERROR(F613 * VLOOKUP(D613, profissionais!B:D, 3, 0),"")</f>
        <v/>
      </c>
    </row>
    <row r="614">
      <c r="D614" s="4"/>
      <c r="E614" s="4"/>
      <c r="F614" s="4" t="str">
        <f>IFERROR(VLOOKUP(E614, servicos!B:C, 2, 0),"")</f>
        <v/>
      </c>
      <c r="G614" s="4" t="str">
        <f>IFERROR(F614 * VLOOKUP(D614, profissionais!B:D, 3, 0),"")</f>
        <v/>
      </c>
    </row>
    <row r="615">
      <c r="D615" s="4"/>
      <c r="E615" s="4"/>
      <c r="F615" s="4" t="str">
        <f>IFERROR(VLOOKUP(E615, servicos!B:C, 2, 0),"")</f>
        <v/>
      </c>
      <c r="G615" s="4" t="str">
        <f>IFERROR(F615 * VLOOKUP(D615, profissionais!B:D, 3, 0),"")</f>
        <v/>
      </c>
    </row>
    <row r="616">
      <c r="D616" s="4"/>
      <c r="E616" s="4"/>
      <c r="F616" s="4" t="str">
        <f>IFERROR(VLOOKUP(E616, servicos!B:C, 2, 0),"")</f>
        <v/>
      </c>
      <c r="G616" s="4" t="str">
        <f>IFERROR(F616 * VLOOKUP(D616, profissionais!B:D, 3, 0),"")</f>
        <v/>
      </c>
    </row>
    <row r="617">
      <c r="D617" s="4"/>
      <c r="E617" s="4"/>
      <c r="F617" s="4" t="str">
        <f>IFERROR(VLOOKUP(E617, servicos!B:C, 2, 0),"")</f>
        <v/>
      </c>
      <c r="G617" s="4" t="str">
        <f>IFERROR(F617 * VLOOKUP(D617, profissionais!B:D, 3, 0),"")</f>
        <v/>
      </c>
    </row>
    <row r="618">
      <c r="D618" s="4"/>
      <c r="E618" s="4"/>
      <c r="F618" s="4" t="str">
        <f>IFERROR(VLOOKUP(E618, servicos!B:C, 2, 0),"")</f>
        <v/>
      </c>
      <c r="G618" s="4" t="str">
        <f>IFERROR(F618 * VLOOKUP(D618, profissionais!B:D, 3, 0),"")</f>
        <v/>
      </c>
    </row>
    <row r="619">
      <c r="D619" s="4"/>
      <c r="E619" s="4"/>
      <c r="F619" s="4" t="str">
        <f>IFERROR(VLOOKUP(E619, servicos!B:C, 2, 0),"")</f>
        <v/>
      </c>
      <c r="G619" s="4" t="str">
        <f>IFERROR(F619 * VLOOKUP(D619, profissionais!B:D, 3, 0),"")</f>
        <v/>
      </c>
    </row>
    <row r="620">
      <c r="D620" s="4"/>
      <c r="E620" s="4"/>
      <c r="F620" s="4" t="str">
        <f>IFERROR(VLOOKUP(E620, servicos!B:C, 2, 0),"")</f>
        <v/>
      </c>
      <c r="G620" s="4" t="str">
        <f>IFERROR(F620 * VLOOKUP(D620, profissionais!B:D, 3, 0),"")</f>
        <v/>
      </c>
    </row>
    <row r="621">
      <c r="D621" s="4"/>
      <c r="E621" s="4"/>
      <c r="F621" s="4" t="str">
        <f>IFERROR(VLOOKUP(E621, servicos!B:C, 2, 0),"")</f>
        <v/>
      </c>
      <c r="G621" s="4" t="str">
        <f>IFERROR(F621 * VLOOKUP(D621, profissionais!B:D, 3, 0),"")</f>
        <v/>
      </c>
    </row>
    <row r="622">
      <c r="D622" s="4"/>
      <c r="E622" s="4"/>
      <c r="F622" s="4" t="str">
        <f>IFERROR(VLOOKUP(E622, servicos!B:C, 2, 0),"")</f>
        <v/>
      </c>
      <c r="G622" s="4" t="str">
        <f>IFERROR(F622 * VLOOKUP(D622, profissionais!B:D, 3, 0),"")</f>
        <v/>
      </c>
    </row>
    <row r="623">
      <c r="D623" s="4"/>
      <c r="E623" s="4"/>
      <c r="F623" s="4" t="str">
        <f>IFERROR(VLOOKUP(E623, servicos!B:C, 2, 0),"")</f>
        <v/>
      </c>
      <c r="G623" s="4" t="str">
        <f>IFERROR(F623 * VLOOKUP(D623, profissionais!B:D, 3, 0),"")</f>
        <v/>
      </c>
    </row>
    <row r="624">
      <c r="D624" s="4"/>
      <c r="E624" s="4"/>
      <c r="F624" s="4" t="str">
        <f>IFERROR(VLOOKUP(E624, servicos!B:C, 2, 0),"")</f>
        <v/>
      </c>
      <c r="G624" s="4" t="str">
        <f>IFERROR(F624 * VLOOKUP(D624, profissionais!B:D, 3, 0),"")</f>
        <v/>
      </c>
    </row>
    <row r="625">
      <c r="D625" s="4"/>
      <c r="E625" s="4"/>
      <c r="F625" s="4" t="str">
        <f>IFERROR(VLOOKUP(E625, servicos!B:C, 2, 0),"")</f>
        <v/>
      </c>
      <c r="G625" s="4" t="str">
        <f>IFERROR(F625 * VLOOKUP(D625, profissionais!B:D, 3, 0),"")</f>
        <v/>
      </c>
    </row>
    <row r="626">
      <c r="D626" s="4"/>
      <c r="E626" s="4"/>
      <c r="F626" s="4" t="str">
        <f>IFERROR(VLOOKUP(E626, servicos!B:C, 2, 0),"")</f>
        <v/>
      </c>
      <c r="G626" s="4" t="str">
        <f>IFERROR(F626 * VLOOKUP(D626, profissionais!B:D, 3, 0),"")</f>
        <v/>
      </c>
    </row>
    <row r="627">
      <c r="D627" s="4"/>
      <c r="E627" s="4"/>
      <c r="F627" s="4" t="str">
        <f>IFERROR(VLOOKUP(E627, servicos!B:C, 2, 0),"")</f>
        <v/>
      </c>
      <c r="G627" s="4" t="str">
        <f>IFERROR(F627 * VLOOKUP(D627, profissionais!B:D, 3, 0),"")</f>
        <v/>
      </c>
    </row>
    <row r="628">
      <c r="D628" s="4"/>
      <c r="E628" s="4"/>
      <c r="F628" s="4" t="str">
        <f>IFERROR(VLOOKUP(E628, servicos!B:C, 2, 0),"")</f>
        <v/>
      </c>
      <c r="G628" s="4" t="str">
        <f>IFERROR(F628 * VLOOKUP(D628, profissionais!B:D, 3, 0),"")</f>
        <v/>
      </c>
    </row>
    <row r="629">
      <c r="D629" s="4"/>
      <c r="E629" s="4"/>
      <c r="F629" s="4" t="str">
        <f>IFERROR(VLOOKUP(E629, servicos!B:C, 2, 0),"")</f>
        <v/>
      </c>
      <c r="G629" s="4" t="str">
        <f>IFERROR(F629 * VLOOKUP(D629, profissionais!B:D, 3, 0),"")</f>
        <v/>
      </c>
    </row>
    <row r="630">
      <c r="D630" s="4"/>
      <c r="E630" s="4"/>
      <c r="F630" s="4" t="str">
        <f>IFERROR(VLOOKUP(E630, servicos!B:C, 2, 0),"")</f>
        <v/>
      </c>
      <c r="G630" s="4" t="str">
        <f>IFERROR(F630 * VLOOKUP(D630, profissionais!B:D, 3, 0),"")</f>
        <v/>
      </c>
    </row>
    <row r="631">
      <c r="D631" s="4"/>
      <c r="E631" s="4"/>
      <c r="F631" s="4" t="str">
        <f>IFERROR(VLOOKUP(E631, servicos!B:C, 2, 0),"")</f>
        <v/>
      </c>
      <c r="G631" s="4" t="str">
        <f>IFERROR(F631 * VLOOKUP(D631, profissionais!B:D, 3, 0),"")</f>
        <v/>
      </c>
    </row>
    <row r="632">
      <c r="D632" s="4"/>
      <c r="E632" s="4"/>
      <c r="F632" s="4" t="str">
        <f>IFERROR(VLOOKUP(E632, servicos!B:C, 2, 0),"")</f>
        <v/>
      </c>
      <c r="G632" s="4" t="str">
        <f>IFERROR(F632 * VLOOKUP(D632, profissionais!B:D, 3, 0),"")</f>
        <v/>
      </c>
    </row>
    <row r="633">
      <c r="D633" s="4"/>
      <c r="E633" s="4"/>
      <c r="F633" s="4" t="str">
        <f>IFERROR(VLOOKUP(E633, servicos!B:C, 2, 0),"")</f>
        <v/>
      </c>
      <c r="G633" s="4" t="str">
        <f>IFERROR(F633 * VLOOKUP(D633, profissionais!B:D, 3, 0),"")</f>
        <v/>
      </c>
    </row>
    <row r="634">
      <c r="D634" s="4"/>
      <c r="E634" s="4"/>
      <c r="F634" s="4" t="str">
        <f>IFERROR(VLOOKUP(E634, servicos!B:C, 2, 0),"")</f>
        <v/>
      </c>
      <c r="G634" s="4" t="str">
        <f>IFERROR(F634 * VLOOKUP(D634, profissionais!B:D, 3, 0),"")</f>
        <v/>
      </c>
    </row>
    <row r="635">
      <c r="D635" s="4"/>
      <c r="E635" s="4"/>
      <c r="F635" s="4" t="str">
        <f>IFERROR(VLOOKUP(E635, servicos!B:C, 2, 0),"")</f>
        <v/>
      </c>
      <c r="G635" s="4" t="str">
        <f>IFERROR(F635 * VLOOKUP(D635, profissionais!B:D, 3, 0),"")</f>
        <v/>
      </c>
    </row>
    <row r="636">
      <c r="D636" s="4"/>
      <c r="E636" s="4"/>
      <c r="F636" s="4" t="str">
        <f>IFERROR(VLOOKUP(E636, servicos!B:C, 2, 0),"")</f>
        <v/>
      </c>
      <c r="G636" s="4" t="str">
        <f>IFERROR(F636 * VLOOKUP(D636, profissionais!B:D, 3, 0),"")</f>
        <v/>
      </c>
    </row>
    <row r="637">
      <c r="D637" s="4"/>
      <c r="E637" s="4"/>
      <c r="F637" s="4" t="str">
        <f>IFERROR(VLOOKUP(E637, servicos!B:C, 2, 0),"")</f>
        <v/>
      </c>
      <c r="G637" s="4" t="str">
        <f>IFERROR(F637 * VLOOKUP(D637, profissionais!B:D, 3, 0),"")</f>
        <v/>
      </c>
    </row>
    <row r="638">
      <c r="D638" s="4"/>
      <c r="E638" s="4"/>
      <c r="F638" s="4" t="str">
        <f>IFERROR(VLOOKUP(E638, servicos!B:C, 2, 0),"")</f>
        <v/>
      </c>
      <c r="G638" s="4" t="str">
        <f>IFERROR(F638 * VLOOKUP(D638, profissionais!B:D, 3, 0),"")</f>
        <v/>
      </c>
    </row>
    <row r="639">
      <c r="D639" s="4"/>
      <c r="E639" s="4"/>
      <c r="F639" s="4" t="str">
        <f>IFERROR(VLOOKUP(E639, servicos!B:C, 2, 0),"")</f>
        <v/>
      </c>
      <c r="G639" s="4" t="str">
        <f>IFERROR(F639 * VLOOKUP(D639, profissionais!B:D, 3, 0),"")</f>
        <v/>
      </c>
    </row>
    <row r="640">
      <c r="D640" s="4"/>
      <c r="E640" s="4"/>
      <c r="F640" s="4" t="str">
        <f>IFERROR(VLOOKUP(E640, servicos!B:C, 2, 0),"")</f>
        <v/>
      </c>
      <c r="G640" s="4" t="str">
        <f>IFERROR(F640 * VLOOKUP(D640, profissionais!B:D, 3, 0),"")</f>
        <v/>
      </c>
    </row>
    <row r="641">
      <c r="D641" s="4"/>
      <c r="E641" s="4"/>
      <c r="F641" s="4" t="str">
        <f>IFERROR(VLOOKUP(E641, servicos!B:C, 2, 0),"")</f>
        <v/>
      </c>
      <c r="G641" s="4" t="str">
        <f>IFERROR(F641 * VLOOKUP(D641, profissionais!B:D, 3, 0),"")</f>
        <v/>
      </c>
    </row>
    <row r="642">
      <c r="D642" s="4"/>
      <c r="E642" s="4"/>
      <c r="F642" s="4" t="str">
        <f>IFERROR(VLOOKUP(E642, servicos!B:C, 2, 0),"")</f>
        <v/>
      </c>
      <c r="G642" s="4" t="str">
        <f>IFERROR(F642 * VLOOKUP(D642, profissionais!B:D, 3, 0),"")</f>
        <v/>
      </c>
    </row>
    <row r="643">
      <c r="D643" s="4"/>
      <c r="E643" s="4"/>
      <c r="F643" s="4" t="str">
        <f>IFERROR(VLOOKUP(E643, servicos!B:C, 2, 0),"")</f>
        <v/>
      </c>
      <c r="G643" s="4" t="str">
        <f>IFERROR(F643 * VLOOKUP(D643, profissionais!B:D, 3, 0),"")</f>
        <v/>
      </c>
    </row>
    <row r="644">
      <c r="D644" s="4"/>
      <c r="E644" s="4"/>
      <c r="F644" s="4" t="str">
        <f>IFERROR(VLOOKUP(E644, servicos!B:C, 2, 0),"")</f>
        <v/>
      </c>
      <c r="G644" s="4" t="str">
        <f>IFERROR(F644 * VLOOKUP(D644, profissionais!B:D, 3, 0),"")</f>
        <v/>
      </c>
    </row>
    <row r="645">
      <c r="D645" s="4"/>
      <c r="E645" s="4"/>
      <c r="F645" s="4" t="str">
        <f>IFERROR(VLOOKUP(E645, servicos!B:C, 2, 0),"")</f>
        <v/>
      </c>
      <c r="G645" s="4" t="str">
        <f>IFERROR(F645 * VLOOKUP(D645, profissionais!B:D, 3, 0),"")</f>
        <v/>
      </c>
    </row>
    <row r="646">
      <c r="D646" s="4"/>
      <c r="E646" s="4"/>
      <c r="F646" s="4" t="str">
        <f>IFERROR(VLOOKUP(E646, servicos!B:C, 2, 0),"")</f>
        <v/>
      </c>
      <c r="G646" s="4" t="str">
        <f>IFERROR(F646 * VLOOKUP(D646, profissionais!B:D, 3, 0),"")</f>
        <v/>
      </c>
    </row>
    <row r="647">
      <c r="D647" s="4"/>
      <c r="E647" s="4"/>
      <c r="F647" s="4" t="str">
        <f>IFERROR(VLOOKUP(E647, servicos!B:C, 2, 0),"")</f>
        <v/>
      </c>
      <c r="G647" s="4" t="str">
        <f>IFERROR(F647 * VLOOKUP(D647, profissionais!B:D, 3, 0),"")</f>
        <v/>
      </c>
    </row>
    <row r="648">
      <c r="D648" s="4"/>
      <c r="E648" s="4"/>
      <c r="F648" s="4" t="str">
        <f>IFERROR(VLOOKUP(E648, servicos!B:C, 2, 0),"")</f>
        <v/>
      </c>
      <c r="G648" s="4" t="str">
        <f>IFERROR(F648 * VLOOKUP(D648, profissionais!B:D, 3, 0),"")</f>
        <v/>
      </c>
    </row>
    <row r="649">
      <c r="D649" s="4"/>
      <c r="E649" s="4"/>
      <c r="F649" s="4" t="str">
        <f>IFERROR(VLOOKUP(E649, servicos!B:C, 2, 0),"")</f>
        <v/>
      </c>
      <c r="G649" s="4" t="str">
        <f>IFERROR(F649 * VLOOKUP(D649, profissionais!B:D, 3, 0),"")</f>
        <v/>
      </c>
    </row>
    <row r="650">
      <c r="D650" s="4"/>
      <c r="E650" s="4"/>
      <c r="F650" s="4" t="str">
        <f>IFERROR(VLOOKUP(E650, servicos!B:C, 2, 0),"")</f>
        <v/>
      </c>
      <c r="G650" s="4" t="str">
        <f>IFERROR(F650 * VLOOKUP(D650, profissionais!B:D, 3, 0),"")</f>
        <v/>
      </c>
    </row>
    <row r="651">
      <c r="D651" s="4"/>
      <c r="E651" s="4"/>
      <c r="F651" s="4" t="str">
        <f>IFERROR(VLOOKUP(E651, servicos!B:C, 2, 0),"")</f>
        <v/>
      </c>
      <c r="G651" s="4" t="str">
        <f>IFERROR(F651 * VLOOKUP(D651, profissionais!B:D, 3, 0),"")</f>
        <v/>
      </c>
    </row>
    <row r="652">
      <c r="D652" s="4"/>
      <c r="E652" s="4"/>
      <c r="F652" s="4" t="str">
        <f>IFERROR(VLOOKUP(E652, servicos!B:C, 2, 0),"")</f>
        <v/>
      </c>
      <c r="G652" s="4" t="str">
        <f>IFERROR(F652 * VLOOKUP(D652, profissionais!B:D, 3, 0),"")</f>
        <v/>
      </c>
    </row>
    <row r="653">
      <c r="D653" s="4"/>
      <c r="E653" s="4"/>
      <c r="F653" s="4" t="str">
        <f>IFERROR(VLOOKUP(E653, servicos!B:C, 2, 0),"")</f>
        <v/>
      </c>
      <c r="G653" s="4" t="str">
        <f>IFERROR(F653 * VLOOKUP(D653, profissionais!B:D, 3, 0),"")</f>
        <v/>
      </c>
    </row>
    <row r="654">
      <c r="D654" s="4"/>
      <c r="E654" s="4"/>
      <c r="F654" s="4" t="str">
        <f>IFERROR(VLOOKUP(E654, servicos!B:C, 2, 0),"")</f>
        <v/>
      </c>
      <c r="G654" s="4" t="str">
        <f>IFERROR(F654 * VLOOKUP(D654, profissionais!B:D, 3, 0),"")</f>
        <v/>
      </c>
    </row>
    <row r="655">
      <c r="D655" s="4"/>
      <c r="E655" s="4"/>
      <c r="F655" s="4" t="str">
        <f>IFERROR(VLOOKUP(E655, servicos!B:C, 2, 0),"")</f>
        <v/>
      </c>
      <c r="G655" s="4" t="str">
        <f>IFERROR(F655 * VLOOKUP(D655, profissionais!B:D, 3, 0),"")</f>
        <v/>
      </c>
    </row>
    <row r="656">
      <c r="D656" s="4"/>
      <c r="E656" s="4"/>
      <c r="F656" s="4" t="str">
        <f>IFERROR(VLOOKUP(E656, servicos!B:C, 2, 0),"")</f>
        <v/>
      </c>
      <c r="G656" s="4" t="str">
        <f>IFERROR(F656 * VLOOKUP(D656, profissionais!B:D, 3, 0),"")</f>
        <v/>
      </c>
    </row>
    <row r="657">
      <c r="D657" s="4"/>
      <c r="E657" s="4"/>
      <c r="F657" s="4" t="str">
        <f>IFERROR(VLOOKUP(E657, servicos!B:C, 2, 0),"")</f>
        <v/>
      </c>
      <c r="G657" s="4" t="str">
        <f>IFERROR(F657 * VLOOKUP(D657, profissionais!B:D, 3, 0),"")</f>
        <v/>
      </c>
    </row>
    <row r="658">
      <c r="D658" s="4"/>
      <c r="E658" s="4"/>
      <c r="F658" s="4" t="str">
        <f>IFERROR(VLOOKUP(E658, servicos!B:C, 2, 0),"")</f>
        <v/>
      </c>
      <c r="G658" s="4" t="str">
        <f>IFERROR(F658 * VLOOKUP(D658, profissionais!B:D, 3, 0),"")</f>
        <v/>
      </c>
    </row>
    <row r="659">
      <c r="D659" s="4"/>
      <c r="E659" s="4"/>
      <c r="F659" s="4" t="str">
        <f>IFERROR(VLOOKUP(E659, servicos!B:C, 2, 0),"")</f>
        <v/>
      </c>
      <c r="G659" s="4" t="str">
        <f>IFERROR(F659 * VLOOKUP(D659, profissionais!B:D, 3, 0),"")</f>
        <v/>
      </c>
    </row>
    <row r="660">
      <c r="D660" s="4"/>
      <c r="E660" s="4"/>
      <c r="F660" s="4" t="str">
        <f>IFERROR(VLOOKUP(E660, servicos!B:C, 2, 0),"")</f>
        <v/>
      </c>
      <c r="G660" s="4" t="str">
        <f>IFERROR(F660 * VLOOKUP(D660, profissionais!B:D, 3, 0),"")</f>
        <v/>
      </c>
    </row>
    <row r="661">
      <c r="D661" s="4"/>
      <c r="E661" s="4"/>
      <c r="F661" s="4" t="str">
        <f>IFERROR(VLOOKUP(E661, servicos!B:C, 2, 0),"")</f>
        <v/>
      </c>
      <c r="G661" s="4" t="str">
        <f>IFERROR(F661 * VLOOKUP(D661, profissionais!B:D, 3, 0),"")</f>
        <v/>
      </c>
    </row>
    <row r="662">
      <c r="D662" s="4"/>
      <c r="E662" s="4"/>
      <c r="F662" s="4" t="str">
        <f>IFERROR(VLOOKUP(E662, servicos!B:C, 2, 0),"")</f>
        <v/>
      </c>
      <c r="G662" s="4" t="str">
        <f>IFERROR(F662 * VLOOKUP(D662, profissionais!B:D, 3, 0),"")</f>
        <v/>
      </c>
    </row>
    <row r="663">
      <c r="D663" s="4"/>
      <c r="E663" s="4"/>
      <c r="F663" s="4" t="str">
        <f>IFERROR(VLOOKUP(E663, servicos!B:C, 2, 0),"")</f>
        <v/>
      </c>
      <c r="G663" s="4" t="str">
        <f>IFERROR(F663 * VLOOKUP(D663, profissionais!B:D, 3, 0),"")</f>
        <v/>
      </c>
    </row>
    <row r="664">
      <c r="D664" s="4"/>
      <c r="E664" s="4"/>
      <c r="F664" s="4" t="str">
        <f>IFERROR(VLOOKUP(E664, servicos!B:C, 2, 0),"")</f>
        <v/>
      </c>
      <c r="G664" s="4" t="str">
        <f>IFERROR(F664 * VLOOKUP(D664, profissionais!B:D, 3, 0),"")</f>
        <v/>
      </c>
    </row>
    <row r="665">
      <c r="D665" s="4"/>
      <c r="E665" s="4"/>
      <c r="F665" s="4" t="str">
        <f>IFERROR(VLOOKUP(E665, servicos!B:C, 2, 0),"")</f>
        <v/>
      </c>
      <c r="G665" s="4" t="str">
        <f>IFERROR(F665 * VLOOKUP(D665, profissionais!B:D, 3, 0),"")</f>
        <v/>
      </c>
    </row>
    <row r="666">
      <c r="D666" s="4"/>
      <c r="E666" s="4"/>
      <c r="F666" s="4" t="str">
        <f>IFERROR(VLOOKUP(E666, servicos!B:C, 2, 0),"")</f>
        <v/>
      </c>
      <c r="G666" s="4" t="str">
        <f>IFERROR(F666 * VLOOKUP(D666, profissionais!B:D, 3, 0),"")</f>
        <v/>
      </c>
    </row>
    <row r="667">
      <c r="D667" s="4"/>
      <c r="E667" s="4"/>
      <c r="F667" s="4" t="str">
        <f>IFERROR(VLOOKUP(E667, servicos!B:C, 2, 0),"")</f>
        <v/>
      </c>
      <c r="G667" s="4" t="str">
        <f>IFERROR(F667 * VLOOKUP(D667, profissionais!B:D, 3, 0),"")</f>
        <v/>
      </c>
    </row>
    <row r="668">
      <c r="D668" s="4"/>
      <c r="E668" s="4"/>
      <c r="F668" s="4" t="str">
        <f>IFERROR(VLOOKUP(E668, servicos!B:C, 2, 0),"")</f>
        <v/>
      </c>
      <c r="G668" s="4" t="str">
        <f>IFERROR(F668 * VLOOKUP(D668, profissionais!B:D, 3, 0),"")</f>
        <v/>
      </c>
    </row>
    <row r="669">
      <c r="D669" s="4"/>
      <c r="E669" s="4"/>
      <c r="F669" s="4" t="str">
        <f>IFERROR(VLOOKUP(E669, servicos!B:C, 2, 0),"")</f>
        <v/>
      </c>
      <c r="G669" s="4" t="str">
        <f>IFERROR(F669 * VLOOKUP(D669, profissionais!B:D, 3, 0),"")</f>
        <v/>
      </c>
    </row>
    <row r="670">
      <c r="D670" s="4"/>
      <c r="E670" s="4"/>
      <c r="F670" s="4" t="str">
        <f>IFERROR(VLOOKUP(E670, servicos!B:C, 2, 0),"")</f>
        <v/>
      </c>
      <c r="G670" s="4" t="str">
        <f>IFERROR(F670 * VLOOKUP(D670, profissionais!B:D, 3, 0),"")</f>
        <v/>
      </c>
    </row>
    <row r="671">
      <c r="D671" s="4"/>
      <c r="E671" s="4"/>
      <c r="F671" s="4" t="str">
        <f>IFERROR(VLOOKUP(E671, servicos!B:C, 2, 0),"")</f>
        <v/>
      </c>
      <c r="G671" s="4" t="str">
        <f>IFERROR(F671 * VLOOKUP(D671, profissionais!B:D, 3, 0),"")</f>
        <v/>
      </c>
    </row>
    <row r="672">
      <c r="D672" s="4"/>
      <c r="E672" s="4"/>
      <c r="F672" s="4" t="str">
        <f>IFERROR(VLOOKUP(E672, servicos!B:C, 2, 0),"")</f>
        <v/>
      </c>
      <c r="G672" s="4" t="str">
        <f>IFERROR(F672 * VLOOKUP(D672, profissionais!B:D, 3, 0),"")</f>
        <v/>
      </c>
    </row>
    <row r="673">
      <c r="D673" s="4"/>
      <c r="E673" s="4"/>
      <c r="F673" s="4" t="str">
        <f>IFERROR(VLOOKUP(E673, servicos!B:C, 2, 0),"")</f>
        <v/>
      </c>
      <c r="G673" s="4" t="str">
        <f>IFERROR(F673 * VLOOKUP(D673, profissionais!B:D, 3, 0),"")</f>
        <v/>
      </c>
    </row>
    <row r="674">
      <c r="D674" s="4"/>
      <c r="E674" s="4"/>
      <c r="F674" s="4" t="str">
        <f>IFERROR(VLOOKUP(E674, servicos!B:C, 2, 0),"")</f>
        <v/>
      </c>
      <c r="G674" s="4" t="str">
        <f>IFERROR(F674 * VLOOKUP(D674, profissionais!B:D, 3, 0),"")</f>
        <v/>
      </c>
    </row>
    <row r="675">
      <c r="D675" s="4"/>
      <c r="E675" s="4"/>
      <c r="F675" s="4" t="str">
        <f>IFERROR(VLOOKUP(E675, servicos!B:C, 2, 0),"")</f>
        <v/>
      </c>
      <c r="G675" s="4" t="str">
        <f>IFERROR(F675 * VLOOKUP(D675, profissionais!B:D, 3, 0),"")</f>
        <v/>
      </c>
    </row>
    <row r="676">
      <c r="D676" s="4"/>
      <c r="E676" s="4"/>
      <c r="F676" s="4" t="str">
        <f>IFERROR(VLOOKUP(E676, servicos!B:C, 2, 0),"")</f>
        <v/>
      </c>
      <c r="G676" s="4" t="str">
        <f>IFERROR(F676 * VLOOKUP(D676, profissionais!B:D, 3, 0),"")</f>
        <v/>
      </c>
    </row>
    <row r="677">
      <c r="D677" s="4"/>
      <c r="E677" s="4"/>
      <c r="F677" s="4" t="str">
        <f>IFERROR(VLOOKUP(E677, servicos!B:C, 2, 0),"")</f>
        <v/>
      </c>
      <c r="G677" s="4" t="str">
        <f>IFERROR(F677 * VLOOKUP(D677, profissionais!B:D, 3, 0),"")</f>
        <v/>
      </c>
    </row>
    <row r="678">
      <c r="D678" s="4"/>
      <c r="E678" s="4"/>
      <c r="F678" s="4" t="str">
        <f>IFERROR(VLOOKUP(E678, servicos!B:C, 2, 0),"")</f>
        <v/>
      </c>
      <c r="G678" s="4" t="str">
        <f>IFERROR(F678 * VLOOKUP(D678, profissionais!B:D, 3, 0),"")</f>
        <v/>
      </c>
    </row>
    <row r="679">
      <c r="D679" s="4"/>
      <c r="E679" s="4"/>
      <c r="F679" s="4" t="str">
        <f>IFERROR(VLOOKUP(E679, servicos!B:C, 2, 0),"")</f>
        <v/>
      </c>
      <c r="G679" s="4" t="str">
        <f>IFERROR(F679 * VLOOKUP(D679, profissionais!B:D, 3, 0),"")</f>
        <v/>
      </c>
    </row>
    <row r="680">
      <c r="D680" s="4"/>
      <c r="E680" s="4"/>
      <c r="F680" s="4" t="str">
        <f>IFERROR(VLOOKUP(E680, servicos!B:C, 2, 0),"")</f>
        <v/>
      </c>
      <c r="G680" s="4" t="str">
        <f>IFERROR(F680 * VLOOKUP(D680, profissionais!B:D, 3, 0),"")</f>
        <v/>
      </c>
    </row>
    <row r="681">
      <c r="D681" s="4"/>
      <c r="E681" s="4"/>
      <c r="F681" s="4" t="str">
        <f>IFERROR(VLOOKUP(E681, servicos!B:C, 2, 0),"")</f>
        <v/>
      </c>
      <c r="G681" s="4" t="str">
        <f>IFERROR(F681 * VLOOKUP(D681, profissionais!B:D, 3, 0),"")</f>
        <v/>
      </c>
    </row>
    <row r="682">
      <c r="D682" s="4"/>
      <c r="E682" s="4"/>
      <c r="F682" s="4" t="str">
        <f>IFERROR(VLOOKUP(E682, servicos!B:C, 2, 0),"")</f>
        <v/>
      </c>
      <c r="G682" s="4" t="str">
        <f>IFERROR(F682 * VLOOKUP(D682, profissionais!B:D, 3, 0),"")</f>
        <v/>
      </c>
    </row>
    <row r="683">
      <c r="D683" s="4"/>
      <c r="E683" s="4"/>
      <c r="F683" s="4" t="str">
        <f>IFERROR(VLOOKUP(E683, servicos!B:C, 2, 0),"")</f>
        <v/>
      </c>
      <c r="G683" s="4" t="str">
        <f>IFERROR(F683 * VLOOKUP(D683, profissionais!B:D, 3, 0),"")</f>
        <v/>
      </c>
    </row>
    <row r="684">
      <c r="D684" s="4"/>
      <c r="E684" s="4"/>
      <c r="F684" s="4" t="str">
        <f>IFERROR(VLOOKUP(E684, servicos!B:C, 2, 0),"")</f>
        <v/>
      </c>
      <c r="G684" s="4" t="str">
        <f>IFERROR(F684 * VLOOKUP(D684, profissionais!B:D, 3, 0),"")</f>
        <v/>
      </c>
    </row>
    <row r="685">
      <c r="D685" s="4"/>
      <c r="E685" s="4"/>
      <c r="F685" s="4" t="str">
        <f>IFERROR(VLOOKUP(E685, servicos!B:C, 2, 0),"")</f>
        <v/>
      </c>
      <c r="G685" s="4" t="str">
        <f>IFERROR(F685 * VLOOKUP(D685, profissionais!B:D, 3, 0),"")</f>
        <v/>
      </c>
    </row>
    <row r="686">
      <c r="D686" s="4"/>
      <c r="E686" s="4"/>
      <c r="F686" s="4" t="str">
        <f>IFERROR(VLOOKUP(E686, servicos!B:C, 2, 0),"")</f>
        <v/>
      </c>
      <c r="G686" s="4" t="str">
        <f>IFERROR(F686 * VLOOKUP(D686, profissionais!B:D, 3, 0),"")</f>
        <v/>
      </c>
    </row>
    <row r="687">
      <c r="D687" s="4"/>
      <c r="E687" s="4"/>
      <c r="F687" s="4" t="str">
        <f>IFERROR(VLOOKUP(E687, servicos!B:C, 2, 0),"")</f>
        <v/>
      </c>
      <c r="G687" s="4" t="str">
        <f>IFERROR(F687 * VLOOKUP(D687, profissionais!B:D, 3, 0),"")</f>
        <v/>
      </c>
    </row>
    <row r="688">
      <c r="D688" s="4"/>
      <c r="E688" s="4"/>
      <c r="F688" s="4" t="str">
        <f>IFERROR(VLOOKUP(E688, servicos!B:C, 2, 0),"")</f>
        <v/>
      </c>
      <c r="G688" s="4" t="str">
        <f>IFERROR(F688 * VLOOKUP(D688, profissionais!B:D, 3, 0),"")</f>
        <v/>
      </c>
    </row>
    <row r="689">
      <c r="D689" s="4"/>
      <c r="E689" s="4"/>
      <c r="F689" s="4" t="str">
        <f>IFERROR(VLOOKUP(E689, servicos!B:C, 2, 0),"")</f>
        <v/>
      </c>
      <c r="G689" s="4" t="str">
        <f>IFERROR(F689 * VLOOKUP(D689, profissionais!B:D, 3, 0),"")</f>
        <v/>
      </c>
    </row>
    <row r="690">
      <c r="D690" s="4"/>
      <c r="E690" s="4"/>
      <c r="F690" s="4" t="str">
        <f>IFERROR(VLOOKUP(E690, servicos!B:C, 2, 0),"")</f>
        <v/>
      </c>
      <c r="G690" s="4" t="str">
        <f>IFERROR(F690 * VLOOKUP(D690, profissionais!B:D, 3, 0),"")</f>
        <v/>
      </c>
    </row>
    <row r="691">
      <c r="D691" s="4"/>
      <c r="E691" s="4"/>
      <c r="F691" s="4" t="str">
        <f>IFERROR(VLOOKUP(E691, servicos!B:C, 2, 0),"")</f>
        <v/>
      </c>
      <c r="G691" s="4" t="str">
        <f>IFERROR(F691 * VLOOKUP(D691, profissionais!B:D, 3, 0),"")</f>
        <v/>
      </c>
    </row>
    <row r="692">
      <c r="D692" s="4"/>
      <c r="E692" s="4"/>
      <c r="F692" s="4" t="str">
        <f>IFERROR(VLOOKUP(E692, servicos!B:C, 2, 0),"")</f>
        <v/>
      </c>
      <c r="G692" s="4" t="str">
        <f>IFERROR(F692 * VLOOKUP(D692, profissionais!B:D, 3, 0),"")</f>
        <v/>
      </c>
    </row>
    <row r="693">
      <c r="D693" s="4"/>
      <c r="E693" s="4"/>
      <c r="F693" s="4" t="str">
        <f>IFERROR(VLOOKUP(E693, servicos!B:C, 2, 0),"")</f>
        <v/>
      </c>
      <c r="G693" s="4" t="str">
        <f>IFERROR(F693 * VLOOKUP(D693, profissionais!B:D, 3, 0),"")</f>
        <v/>
      </c>
    </row>
    <row r="694">
      <c r="D694" s="4"/>
      <c r="E694" s="4"/>
      <c r="F694" s="4" t="str">
        <f>IFERROR(VLOOKUP(E694, servicos!B:C, 2, 0),"")</f>
        <v/>
      </c>
      <c r="G694" s="4" t="str">
        <f>IFERROR(F694 * VLOOKUP(D694, profissionais!B:D, 3, 0),"")</f>
        <v/>
      </c>
    </row>
    <row r="695">
      <c r="D695" s="4"/>
      <c r="E695" s="4"/>
      <c r="F695" s="4" t="str">
        <f>IFERROR(VLOOKUP(E695, servicos!B:C, 2, 0),"")</f>
        <v/>
      </c>
      <c r="G695" s="4" t="str">
        <f>IFERROR(F695 * VLOOKUP(D695, profissionais!B:D, 3, 0),"")</f>
        <v/>
      </c>
    </row>
    <row r="696">
      <c r="D696" s="4"/>
      <c r="E696" s="4"/>
      <c r="F696" s="4" t="str">
        <f>IFERROR(VLOOKUP(E696, servicos!B:C, 2, 0),"")</f>
        <v/>
      </c>
      <c r="G696" s="4" t="str">
        <f>IFERROR(F696 * VLOOKUP(D696, profissionais!B:D, 3, 0),"")</f>
        <v/>
      </c>
    </row>
    <row r="697">
      <c r="D697" s="4"/>
      <c r="E697" s="4"/>
      <c r="F697" s="4" t="str">
        <f>IFERROR(VLOOKUP(E697, servicos!B:C, 2, 0),"")</f>
        <v/>
      </c>
      <c r="G697" s="4" t="str">
        <f>IFERROR(F697 * VLOOKUP(D697, profissionais!B:D, 3, 0),"")</f>
        <v/>
      </c>
    </row>
    <row r="698">
      <c r="D698" s="4"/>
      <c r="E698" s="4"/>
      <c r="F698" s="4" t="str">
        <f>IFERROR(VLOOKUP(E698, servicos!B:C, 2, 0),"")</f>
        <v/>
      </c>
      <c r="G698" s="4" t="str">
        <f>IFERROR(F698 * VLOOKUP(D698, profissionais!B:D, 3, 0),"")</f>
        <v/>
      </c>
    </row>
    <row r="699">
      <c r="D699" s="4"/>
      <c r="E699" s="4"/>
      <c r="F699" s="4" t="str">
        <f>IFERROR(VLOOKUP(E699, servicos!B:C, 2, 0),"")</f>
        <v/>
      </c>
      <c r="G699" s="4" t="str">
        <f>IFERROR(F699 * VLOOKUP(D699, profissionais!B:D, 3, 0),"")</f>
        <v/>
      </c>
    </row>
    <row r="700">
      <c r="D700" s="4"/>
      <c r="E700" s="4"/>
      <c r="F700" s="4" t="str">
        <f>IFERROR(VLOOKUP(E700, servicos!B:C, 2, 0),"")</f>
        <v/>
      </c>
      <c r="G700" s="4" t="str">
        <f>IFERROR(F700 * VLOOKUP(D700, profissionais!B:D, 3, 0),"")</f>
        <v/>
      </c>
    </row>
    <row r="701">
      <c r="D701" s="4"/>
      <c r="E701" s="4"/>
      <c r="F701" s="4" t="str">
        <f>IFERROR(VLOOKUP(E701, servicos!B:C, 2, 0),"")</f>
        <v/>
      </c>
      <c r="G701" s="4" t="str">
        <f>IFERROR(F701 * VLOOKUP(D701, profissionais!B:D, 3, 0),"")</f>
        <v/>
      </c>
    </row>
    <row r="702">
      <c r="D702" s="4"/>
      <c r="E702" s="4"/>
      <c r="F702" s="4" t="str">
        <f>IFERROR(VLOOKUP(E702, servicos!B:C, 2, 0),"")</f>
        <v/>
      </c>
      <c r="G702" s="4" t="str">
        <f>IFERROR(F702 * VLOOKUP(D702, profissionais!B:D, 3, 0),"")</f>
        <v/>
      </c>
    </row>
    <row r="703">
      <c r="D703" s="4"/>
      <c r="E703" s="4"/>
      <c r="F703" s="4" t="str">
        <f>IFERROR(VLOOKUP(E703, servicos!B:C, 2, 0),"")</f>
        <v/>
      </c>
      <c r="G703" s="4" t="str">
        <f>IFERROR(F703 * VLOOKUP(D703, profissionais!B:D, 3, 0),"")</f>
        <v/>
      </c>
    </row>
    <row r="704">
      <c r="D704" s="4"/>
      <c r="E704" s="4"/>
      <c r="F704" s="4" t="str">
        <f>IFERROR(VLOOKUP(E704, servicos!B:C, 2, 0),"")</f>
        <v/>
      </c>
      <c r="G704" s="4" t="str">
        <f>IFERROR(F704 * VLOOKUP(D704, profissionais!B:D, 3, 0),"")</f>
        <v/>
      </c>
    </row>
    <row r="705">
      <c r="D705" s="4"/>
      <c r="E705" s="4"/>
      <c r="F705" s="4" t="str">
        <f>IFERROR(VLOOKUP(E705, servicos!B:C, 2, 0),"")</f>
        <v/>
      </c>
      <c r="G705" s="4" t="str">
        <f>IFERROR(F705 * VLOOKUP(D705, profissionais!B:D, 3, 0),"")</f>
        <v/>
      </c>
    </row>
    <row r="706">
      <c r="D706" s="4"/>
      <c r="E706" s="4"/>
      <c r="F706" s="4" t="str">
        <f>IFERROR(VLOOKUP(E706, servicos!B:C, 2, 0),"")</f>
        <v/>
      </c>
      <c r="G706" s="4" t="str">
        <f>IFERROR(F706 * VLOOKUP(D706, profissionais!B:D, 3, 0),"")</f>
        <v/>
      </c>
    </row>
    <row r="707">
      <c r="D707" s="4"/>
      <c r="E707" s="4"/>
      <c r="F707" s="4" t="str">
        <f>IFERROR(VLOOKUP(E707, servicos!B:C, 2, 0),"")</f>
        <v/>
      </c>
      <c r="G707" s="4" t="str">
        <f>IFERROR(F707 * VLOOKUP(D707, profissionais!B:D, 3, 0),"")</f>
        <v/>
      </c>
    </row>
    <row r="708">
      <c r="D708" s="4"/>
      <c r="E708" s="4"/>
      <c r="F708" s="4" t="str">
        <f>IFERROR(VLOOKUP(E708, servicos!B:C, 2, 0),"")</f>
        <v/>
      </c>
      <c r="G708" s="4" t="str">
        <f>IFERROR(F708 * VLOOKUP(D708, profissionais!B:D, 3, 0),"")</f>
        <v/>
      </c>
    </row>
    <row r="709">
      <c r="D709" s="4"/>
      <c r="E709" s="4"/>
      <c r="F709" s="4" t="str">
        <f>IFERROR(VLOOKUP(E709, servicos!B:C, 2, 0),"")</f>
        <v/>
      </c>
      <c r="G709" s="4" t="str">
        <f>IFERROR(F709 * VLOOKUP(D709, profissionais!B:D, 3, 0),"")</f>
        <v/>
      </c>
    </row>
    <row r="710">
      <c r="D710" s="4"/>
      <c r="E710" s="4"/>
      <c r="F710" s="4" t="str">
        <f>IFERROR(VLOOKUP(E710, servicos!B:C, 2, 0),"")</f>
        <v/>
      </c>
      <c r="G710" s="4" t="str">
        <f>IFERROR(F710 * VLOOKUP(D710, profissionais!B:D, 3, 0),"")</f>
        <v/>
      </c>
    </row>
    <row r="711">
      <c r="D711" s="4"/>
      <c r="E711" s="4"/>
      <c r="F711" s="4" t="str">
        <f>IFERROR(VLOOKUP(E711, servicos!B:C, 2, 0),"")</f>
        <v/>
      </c>
      <c r="G711" s="4" t="str">
        <f>IFERROR(F711 * VLOOKUP(D711, profissionais!B:D, 3, 0),"")</f>
        <v/>
      </c>
    </row>
    <row r="712">
      <c r="D712" s="4"/>
      <c r="E712" s="4"/>
      <c r="F712" s="4" t="str">
        <f>IFERROR(VLOOKUP(E712, servicos!B:C, 2, 0),"")</f>
        <v/>
      </c>
      <c r="G712" s="4" t="str">
        <f>IFERROR(F712 * VLOOKUP(D712, profissionais!B:D, 3, 0),"")</f>
        <v/>
      </c>
    </row>
    <row r="713">
      <c r="D713" s="4"/>
      <c r="E713" s="4"/>
      <c r="F713" s="4" t="str">
        <f>IFERROR(VLOOKUP(E713, servicos!B:C, 2, 0),"")</f>
        <v/>
      </c>
      <c r="G713" s="4" t="str">
        <f>IFERROR(F713 * VLOOKUP(D713, profissionais!B:D, 3, 0),"")</f>
        <v/>
      </c>
    </row>
    <row r="714">
      <c r="D714" s="4"/>
      <c r="E714" s="4"/>
      <c r="F714" s="4" t="str">
        <f>IFERROR(VLOOKUP(E714, servicos!B:C, 2, 0),"")</f>
        <v/>
      </c>
      <c r="G714" s="4" t="str">
        <f>IFERROR(F714 * VLOOKUP(D714, profissionais!B:D, 3, 0),"")</f>
        <v/>
      </c>
    </row>
    <row r="715">
      <c r="D715" s="4"/>
      <c r="E715" s="4"/>
      <c r="F715" s="4" t="str">
        <f>IFERROR(VLOOKUP(E715, servicos!B:C, 2, 0),"")</f>
        <v/>
      </c>
      <c r="G715" s="4" t="str">
        <f>IFERROR(F715 * VLOOKUP(D715, profissionais!B:D, 3, 0),"")</f>
        <v/>
      </c>
    </row>
    <row r="716">
      <c r="D716" s="4"/>
      <c r="E716" s="4"/>
      <c r="F716" s="4" t="str">
        <f>IFERROR(VLOOKUP(E716, servicos!B:C, 2, 0),"")</f>
        <v/>
      </c>
      <c r="G716" s="4" t="str">
        <f>IFERROR(F716 * VLOOKUP(D716, profissionais!B:D, 3, 0),"")</f>
        <v/>
      </c>
    </row>
    <row r="717">
      <c r="D717" s="4"/>
      <c r="E717" s="4"/>
      <c r="F717" s="4" t="str">
        <f>IFERROR(VLOOKUP(E717, servicos!B:C, 2, 0),"")</f>
        <v/>
      </c>
      <c r="G717" s="4" t="str">
        <f>IFERROR(F717 * VLOOKUP(D717, profissionais!B:D, 3, 0),"")</f>
        <v/>
      </c>
    </row>
    <row r="718">
      <c r="D718" s="4"/>
      <c r="E718" s="4"/>
      <c r="F718" s="4" t="str">
        <f>IFERROR(VLOOKUP(E718, servicos!B:C, 2, 0),"")</f>
        <v/>
      </c>
      <c r="G718" s="4" t="str">
        <f>IFERROR(F718 * VLOOKUP(D718, profissionais!B:D, 3, 0),"")</f>
        <v/>
      </c>
    </row>
    <row r="719">
      <c r="D719" s="4"/>
      <c r="E719" s="4"/>
      <c r="F719" s="4" t="str">
        <f>IFERROR(VLOOKUP(E719, servicos!B:C, 2, 0),"")</f>
        <v/>
      </c>
      <c r="G719" s="4" t="str">
        <f>IFERROR(F719 * VLOOKUP(D719, profissionais!B:D, 3, 0),"")</f>
        <v/>
      </c>
    </row>
    <row r="720">
      <c r="D720" s="4"/>
      <c r="E720" s="4"/>
      <c r="F720" s="4" t="str">
        <f>IFERROR(VLOOKUP(E720, servicos!B:C, 2, 0),"")</f>
        <v/>
      </c>
      <c r="G720" s="4" t="str">
        <f>IFERROR(F720 * VLOOKUP(D720, profissionais!B:D, 3, 0),"")</f>
        <v/>
      </c>
    </row>
    <row r="721">
      <c r="D721" s="4"/>
      <c r="E721" s="4"/>
      <c r="F721" s="4" t="str">
        <f>IFERROR(VLOOKUP(E721, servicos!B:C, 2, 0),"")</f>
        <v/>
      </c>
      <c r="G721" s="4" t="str">
        <f>IFERROR(F721 * VLOOKUP(D721, profissionais!B:D, 3, 0),"")</f>
        <v/>
      </c>
    </row>
    <row r="722">
      <c r="D722" s="4"/>
      <c r="E722" s="4"/>
      <c r="F722" s="4" t="str">
        <f>IFERROR(VLOOKUP(E722, servicos!B:C, 2, 0),"")</f>
        <v/>
      </c>
      <c r="G722" s="4" t="str">
        <f>IFERROR(F722 * VLOOKUP(D722, profissionais!B:D, 3, 0),"")</f>
        <v/>
      </c>
    </row>
    <row r="723">
      <c r="D723" s="4"/>
      <c r="E723" s="4"/>
      <c r="F723" s="4" t="str">
        <f>IFERROR(VLOOKUP(E723, servicos!B:C, 2, 0),"")</f>
        <v/>
      </c>
      <c r="G723" s="4" t="str">
        <f>IFERROR(F723 * VLOOKUP(D723, profissionais!B:D, 3, 0),"")</f>
        <v/>
      </c>
    </row>
    <row r="724">
      <c r="D724" s="4"/>
      <c r="E724" s="4"/>
      <c r="F724" s="4" t="str">
        <f>IFERROR(VLOOKUP(E724, servicos!B:C, 2, 0),"")</f>
        <v/>
      </c>
      <c r="G724" s="4" t="str">
        <f>IFERROR(F724 * VLOOKUP(D724, profissionais!B:D, 3, 0),"")</f>
        <v/>
      </c>
    </row>
    <row r="725">
      <c r="D725" s="4"/>
      <c r="E725" s="4"/>
      <c r="F725" s="4" t="str">
        <f>IFERROR(VLOOKUP(E725, servicos!B:C, 2, 0),"")</f>
        <v/>
      </c>
      <c r="G725" s="4" t="str">
        <f>IFERROR(F725 * VLOOKUP(D725, profissionais!B:D, 3, 0),"")</f>
        <v/>
      </c>
    </row>
    <row r="726">
      <c r="D726" s="4"/>
      <c r="E726" s="4"/>
      <c r="F726" s="4" t="str">
        <f>IFERROR(VLOOKUP(E726, servicos!B:C, 2, 0),"")</f>
        <v/>
      </c>
      <c r="G726" s="4" t="str">
        <f>IFERROR(F726 * VLOOKUP(D726, profissionais!B:D, 3, 0),"")</f>
        <v/>
      </c>
    </row>
    <row r="727">
      <c r="D727" s="4"/>
      <c r="E727" s="4"/>
      <c r="F727" s="4" t="str">
        <f>IFERROR(VLOOKUP(E727, servicos!B:C, 2, 0),"")</f>
        <v/>
      </c>
      <c r="G727" s="4" t="str">
        <f>IFERROR(F727 * VLOOKUP(D727, profissionais!B:D, 3, 0),"")</f>
        <v/>
      </c>
    </row>
    <row r="728">
      <c r="D728" s="4"/>
      <c r="E728" s="4"/>
      <c r="F728" s="4" t="str">
        <f>IFERROR(VLOOKUP(E728, servicos!B:C, 2, 0),"")</f>
        <v/>
      </c>
      <c r="G728" s="4" t="str">
        <f>IFERROR(F728 * VLOOKUP(D728, profissionais!B:D, 3, 0),"")</f>
        <v/>
      </c>
    </row>
    <row r="729">
      <c r="D729" s="4"/>
      <c r="E729" s="4"/>
      <c r="F729" s="4" t="str">
        <f>IFERROR(VLOOKUP(E729, servicos!B:C, 2, 0),"")</f>
        <v/>
      </c>
      <c r="G729" s="4" t="str">
        <f>IFERROR(F729 * VLOOKUP(D729, profissionais!B:D, 3, 0),"")</f>
        <v/>
      </c>
    </row>
    <row r="730">
      <c r="D730" s="4"/>
      <c r="E730" s="4"/>
      <c r="F730" s="4" t="str">
        <f>IFERROR(VLOOKUP(E730, servicos!B:C, 2, 0),"")</f>
        <v/>
      </c>
      <c r="G730" s="4" t="str">
        <f>IFERROR(F730 * VLOOKUP(D730, profissionais!B:D, 3, 0),"")</f>
        <v/>
      </c>
    </row>
    <row r="731">
      <c r="D731" s="4"/>
      <c r="E731" s="4"/>
      <c r="F731" s="4" t="str">
        <f>IFERROR(VLOOKUP(E731, servicos!B:C, 2, 0),"")</f>
        <v/>
      </c>
      <c r="G731" s="4" t="str">
        <f>IFERROR(F731 * VLOOKUP(D731, profissionais!B:D, 3, 0),"")</f>
        <v/>
      </c>
    </row>
    <row r="732">
      <c r="D732" s="4"/>
      <c r="E732" s="4"/>
      <c r="F732" s="4" t="str">
        <f>IFERROR(VLOOKUP(E732, servicos!B:C, 2, 0),"")</f>
        <v/>
      </c>
      <c r="G732" s="4" t="str">
        <f>IFERROR(F732 * VLOOKUP(D732, profissionais!B:D, 3, 0),"")</f>
        <v/>
      </c>
    </row>
    <row r="733">
      <c r="D733" s="4"/>
      <c r="E733" s="4"/>
      <c r="F733" s="4" t="str">
        <f>IFERROR(VLOOKUP(E733, servicos!B:C, 2, 0),"")</f>
        <v/>
      </c>
      <c r="G733" s="4" t="str">
        <f>IFERROR(F733 * VLOOKUP(D733, profissionais!B:D, 3, 0),"")</f>
        <v/>
      </c>
    </row>
    <row r="734">
      <c r="D734" s="4"/>
      <c r="E734" s="4"/>
      <c r="F734" s="4" t="str">
        <f>IFERROR(VLOOKUP(E734, servicos!B:C, 2, 0),"")</f>
        <v/>
      </c>
      <c r="G734" s="4" t="str">
        <f>IFERROR(F734 * VLOOKUP(D734, profissionais!B:D, 3, 0),"")</f>
        <v/>
      </c>
    </row>
    <row r="735">
      <c r="D735" s="4"/>
      <c r="E735" s="4"/>
      <c r="F735" s="4" t="str">
        <f>IFERROR(VLOOKUP(E735, servicos!B:C, 2, 0),"")</f>
        <v/>
      </c>
      <c r="G735" s="4" t="str">
        <f>IFERROR(F735 * VLOOKUP(D735, profissionais!B:D, 3, 0),"")</f>
        <v/>
      </c>
    </row>
    <row r="736">
      <c r="D736" s="4"/>
      <c r="E736" s="4"/>
      <c r="F736" s="4" t="str">
        <f>IFERROR(VLOOKUP(E736, servicos!B:C, 2, 0),"")</f>
        <v/>
      </c>
      <c r="G736" s="4" t="str">
        <f>IFERROR(F736 * VLOOKUP(D736, profissionais!B:D, 3, 0),"")</f>
        <v/>
      </c>
    </row>
    <row r="737">
      <c r="D737" s="4"/>
      <c r="E737" s="4"/>
      <c r="F737" s="4" t="str">
        <f>IFERROR(VLOOKUP(E737, servicos!B:C, 2, 0),"")</f>
        <v/>
      </c>
      <c r="G737" s="4" t="str">
        <f>IFERROR(F737 * VLOOKUP(D737, profissionais!B:D, 3, 0),"")</f>
        <v/>
      </c>
    </row>
    <row r="738">
      <c r="D738" s="4"/>
      <c r="E738" s="4"/>
      <c r="F738" s="4" t="str">
        <f>IFERROR(VLOOKUP(E738, servicos!B:C, 2, 0),"")</f>
        <v/>
      </c>
      <c r="G738" s="4" t="str">
        <f>IFERROR(F738 * VLOOKUP(D738, profissionais!B:D, 3, 0),"")</f>
        <v/>
      </c>
    </row>
    <row r="739">
      <c r="D739" s="4"/>
      <c r="E739" s="4"/>
      <c r="F739" s="4" t="str">
        <f>IFERROR(VLOOKUP(E739, servicos!B:C, 2, 0),"")</f>
        <v/>
      </c>
      <c r="G739" s="4" t="str">
        <f>IFERROR(F739 * VLOOKUP(D739, profissionais!B:D, 3, 0),"")</f>
        <v/>
      </c>
    </row>
    <row r="740">
      <c r="D740" s="4"/>
      <c r="E740" s="4"/>
      <c r="F740" s="4" t="str">
        <f>IFERROR(VLOOKUP(E740, servicos!B:C, 2, 0),"")</f>
        <v/>
      </c>
      <c r="G740" s="4" t="str">
        <f>IFERROR(F740 * VLOOKUP(D740, profissionais!B:D, 3, 0),"")</f>
        <v/>
      </c>
    </row>
    <row r="741">
      <c r="D741" s="4"/>
      <c r="E741" s="4"/>
      <c r="F741" s="4" t="str">
        <f>IFERROR(VLOOKUP(E741, servicos!B:C, 2, 0),"")</f>
        <v/>
      </c>
      <c r="G741" s="4" t="str">
        <f>IFERROR(F741 * VLOOKUP(D741, profissionais!B:D, 3, 0),"")</f>
        <v/>
      </c>
    </row>
    <row r="742">
      <c r="D742" s="4"/>
      <c r="E742" s="4"/>
      <c r="F742" s="4" t="str">
        <f>IFERROR(VLOOKUP(E742, servicos!B:C, 2, 0),"")</f>
        <v/>
      </c>
      <c r="G742" s="4" t="str">
        <f>IFERROR(F742 * VLOOKUP(D742, profissionais!B:D, 3, 0),"")</f>
        <v/>
      </c>
    </row>
    <row r="743">
      <c r="D743" s="4"/>
      <c r="E743" s="4"/>
      <c r="F743" s="4" t="str">
        <f>IFERROR(VLOOKUP(E743, servicos!B:C, 2, 0),"")</f>
        <v/>
      </c>
      <c r="G743" s="4" t="str">
        <f>IFERROR(F743 * VLOOKUP(D743, profissionais!B:D, 3, 0),"")</f>
        <v/>
      </c>
    </row>
    <row r="744">
      <c r="D744" s="4"/>
      <c r="E744" s="4"/>
      <c r="F744" s="4" t="str">
        <f>IFERROR(VLOOKUP(E744, servicos!B:C, 2, 0),"")</f>
        <v/>
      </c>
      <c r="G744" s="4" t="str">
        <f>IFERROR(F744 * VLOOKUP(D744, profissionais!B:D, 3, 0),"")</f>
        <v/>
      </c>
    </row>
    <row r="745">
      <c r="D745" s="4"/>
      <c r="E745" s="4"/>
      <c r="F745" s="4" t="str">
        <f>IFERROR(VLOOKUP(E745, servicos!B:C, 2, 0),"")</f>
        <v/>
      </c>
      <c r="G745" s="4" t="str">
        <f>IFERROR(F745 * VLOOKUP(D745, profissionais!B:D, 3, 0),"")</f>
        <v/>
      </c>
    </row>
    <row r="746">
      <c r="D746" s="4"/>
      <c r="E746" s="4"/>
      <c r="F746" s="4" t="str">
        <f>IFERROR(VLOOKUP(E746, servicos!B:C, 2, 0),"")</f>
        <v/>
      </c>
      <c r="G746" s="4" t="str">
        <f>IFERROR(F746 * VLOOKUP(D746, profissionais!B:D, 3, 0),"")</f>
        <v/>
      </c>
    </row>
    <row r="747">
      <c r="D747" s="4"/>
      <c r="E747" s="4"/>
      <c r="F747" s="4" t="str">
        <f>IFERROR(VLOOKUP(E747, servicos!B:C, 2, 0),"")</f>
        <v/>
      </c>
      <c r="G747" s="4" t="str">
        <f>IFERROR(F747 * VLOOKUP(D747, profissionais!B:D, 3, 0),"")</f>
        <v/>
      </c>
    </row>
    <row r="748">
      <c r="D748" s="4"/>
      <c r="E748" s="4"/>
      <c r="F748" s="4" t="str">
        <f>IFERROR(VLOOKUP(E748, servicos!B:C, 2, 0),"")</f>
        <v/>
      </c>
      <c r="G748" s="4" t="str">
        <f>IFERROR(F748 * VLOOKUP(D748, profissionais!B:D, 3, 0),"")</f>
        <v/>
      </c>
    </row>
    <row r="749">
      <c r="D749" s="4"/>
      <c r="E749" s="4"/>
      <c r="F749" s="4" t="str">
        <f>IFERROR(VLOOKUP(E749, servicos!B:C, 2, 0),"")</f>
        <v/>
      </c>
      <c r="G749" s="4" t="str">
        <f>IFERROR(F749 * VLOOKUP(D749, profissionais!B:D, 3, 0),"")</f>
        <v/>
      </c>
    </row>
    <row r="750">
      <c r="D750" s="4"/>
      <c r="E750" s="4"/>
      <c r="F750" s="4" t="str">
        <f>IFERROR(VLOOKUP(E750, servicos!B:C, 2, 0),"")</f>
        <v/>
      </c>
      <c r="G750" s="4" t="str">
        <f>IFERROR(F750 * VLOOKUP(D750, profissionais!B:D, 3, 0),"")</f>
        <v/>
      </c>
    </row>
    <row r="751">
      <c r="D751" s="4"/>
      <c r="E751" s="4"/>
      <c r="F751" s="4" t="str">
        <f>IFERROR(VLOOKUP(E751, servicos!B:C, 2, 0),"")</f>
        <v/>
      </c>
      <c r="G751" s="4" t="str">
        <f>IFERROR(F751 * VLOOKUP(D751, profissionais!B:D, 3, 0),"")</f>
        <v/>
      </c>
    </row>
    <row r="752">
      <c r="D752" s="4"/>
      <c r="E752" s="4"/>
      <c r="F752" s="4" t="str">
        <f>IFERROR(VLOOKUP(E752, servicos!B:C, 2, 0),"")</f>
        <v/>
      </c>
      <c r="G752" s="4" t="str">
        <f>IFERROR(F752 * VLOOKUP(D752, profissionais!B:D, 3, 0),"")</f>
        <v/>
      </c>
    </row>
    <row r="753">
      <c r="D753" s="4"/>
      <c r="E753" s="4"/>
      <c r="F753" s="4" t="str">
        <f>IFERROR(VLOOKUP(E753, servicos!B:C, 2, 0),"")</f>
        <v/>
      </c>
      <c r="G753" s="4" t="str">
        <f>IFERROR(F753 * VLOOKUP(D753, profissionais!B:D, 3, 0),"")</f>
        <v/>
      </c>
    </row>
    <row r="754">
      <c r="D754" s="4"/>
      <c r="E754" s="4"/>
      <c r="F754" s="4" t="str">
        <f>IFERROR(VLOOKUP(E754, servicos!B:C, 2, 0),"")</f>
        <v/>
      </c>
      <c r="G754" s="4" t="str">
        <f>IFERROR(F754 * VLOOKUP(D754, profissionais!B:D, 3, 0),"")</f>
        <v/>
      </c>
    </row>
    <row r="755">
      <c r="D755" s="4"/>
      <c r="E755" s="4"/>
      <c r="F755" s="4" t="str">
        <f>IFERROR(VLOOKUP(E755, servicos!B:C, 2, 0),"")</f>
        <v/>
      </c>
      <c r="G755" s="4" t="str">
        <f>IFERROR(F755 * VLOOKUP(D755, profissionais!B:D, 3, 0),"")</f>
        <v/>
      </c>
    </row>
    <row r="756">
      <c r="D756" s="4"/>
      <c r="E756" s="4"/>
      <c r="F756" s="4" t="str">
        <f>IFERROR(VLOOKUP(E756, servicos!B:C, 2, 0),"")</f>
        <v/>
      </c>
      <c r="G756" s="4" t="str">
        <f>IFERROR(F756 * VLOOKUP(D756, profissionais!B:D, 3, 0),"")</f>
        <v/>
      </c>
    </row>
    <row r="757">
      <c r="D757" s="4"/>
      <c r="E757" s="4"/>
      <c r="F757" s="4" t="str">
        <f>IFERROR(VLOOKUP(E757, servicos!B:C, 2, 0),"")</f>
        <v/>
      </c>
      <c r="G757" s="4" t="str">
        <f>IFERROR(F757 * VLOOKUP(D757, profissionais!B:D, 3, 0),"")</f>
        <v/>
      </c>
    </row>
    <row r="758">
      <c r="D758" s="4"/>
      <c r="E758" s="4"/>
      <c r="F758" s="4" t="str">
        <f>IFERROR(VLOOKUP(E758, servicos!B:C, 2, 0),"")</f>
        <v/>
      </c>
      <c r="G758" s="4" t="str">
        <f>IFERROR(F758 * VLOOKUP(D758, profissionais!B:D, 3, 0),"")</f>
        <v/>
      </c>
    </row>
    <row r="759">
      <c r="D759" s="4"/>
      <c r="E759" s="4"/>
      <c r="F759" s="4" t="str">
        <f>IFERROR(VLOOKUP(E759, servicos!B:C, 2, 0),"")</f>
        <v/>
      </c>
      <c r="G759" s="4" t="str">
        <f>IFERROR(F759 * VLOOKUP(D759, profissionais!B:D, 3, 0),"")</f>
        <v/>
      </c>
    </row>
    <row r="760">
      <c r="D760" s="4"/>
      <c r="E760" s="4"/>
      <c r="F760" s="4" t="str">
        <f>IFERROR(VLOOKUP(E760, servicos!B:C, 2, 0),"")</f>
        <v/>
      </c>
      <c r="G760" s="4" t="str">
        <f>IFERROR(F760 * VLOOKUP(D760, profissionais!B:D, 3, 0),"")</f>
        <v/>
      </c>
    </row>
    <row r="761">
      <c r="D761" s="4"/>
      <c r="E761" s="4"/>
      <c r="F761" s="4" t="str">
        <f>IFERROR(VLOOKUP(E761, servicos!B:C, 2, 0),"")</f>
        <v/>
      </c>
      <c r="G761" s="4" t="str">
        <f>IFERROR(F761 * VLOOKUP(D761, profissionais!B:D, 3, 0),"")</f>
        <v/>
      </c>
    </row>
    <row r="762">
      <c r="D762" s="4"/>
      <c r="E762" s="4"/>
      <c r="F762" s="4" t="str">
        <f>IFERROR(VLOOKUP(E762, servicos!B:C, 2, 0),"")</f>
        <v/>
      </c>
      <c r="G762" s="4" t="str">
        <f>IFERROR(F762 * VLOOKUP(D762, profissionais!B:D, 3, 0),"")</f>
        <v/>
      </c>
    </row>
    <row r="763">
      <c r="D763" s="4"/>
      <c r="E763" s="4"/>
      <c r="F763" s="4" t="str">
        <f>IFERROR(VLOOKUP(E763, servicos!B:C, 2, 0),"")</f>
        <v/>
      </c>
      <c r="G763" s="4" t="str">
        <f>IFERROR(F763 * VLOOKUP(D763, profissionais!B:D, 3, 0),"")</f>
        <v/>
      </c>
    </row>
    <row r="764">
      <c r="D764" s="4"/>
      <c r="E764" s="4"/>
      <c r="F764" s="4" t="str">
        <f>IFERROR(VLOOKUP(E764, servicos!B:C, 2, 0),"")</f>
        <v/>
      </c>
      <c r="G764" s="4" t="str">
        <f>IFERROR(F764 * VLOOKUP(D764, profissionais!B:D, 3, 0),"")</f>
        <v/>
      </c>
    </row>
    <row r="765">
      <c r="D765" s="4"/>
      <c r="E765" s="4"/>
      <c r="F765" s="4" t="str">
        <f>IFERROR(VLOOKUP(E765, servicos!B:C, 2, 0),"")</f>
        <v/>
      </c>
      <c r="G765" s="4" t="str">
        <f>IFERROR(F765 * VLOOKUP(D765, profissionais!B:D, 3, 0),"")</f>
        <v/>
      </c>
    </row>
    <row r="766">
      <c r="D766" s="4"/>
      <c r="E766" s="4"/>
      <c r="F766" s="4" t="str">
        <f>IFERROR(VLOOKUP(E766, servicos!B:C, 2, 0),"")</f>
        <v/>
      </c>
      <c r="G766" s="4" t="str">
        <f>IFERROR(F766 * VLOOKUP(D766, profissionais!B:D, 3, 0),"")</f>
        <v/>
      </c>
    </row>
    <row r="767">
      <c r="D767" s="4"/>
      <c r="E767" s="4"/>
      <c r="F767" s="4" t="str">
        <f>IFERROR(VLOOKUP(E767, servicos!B:C, 2, 0),"")</f>
        <v/>
      </c>
      <c r="G767" s="4" t="str">
        <f>IFERROR(F767 * VLOOKUP(D767, profissionais!B:D, 3, 0),"")</f>
        <v/>
      </c>
    </row>
    <row r="768">
      <c r="D768" s="4"/>
      <c r="E768" s="4"/>
      <c r="F768" s="4" t="str">
        <f>IFERROR(VLOOKUP(E768, servicos!B:C, 2, 0),"")</f>
        <v/>
      </c>
      <c r="G768" s="4" t="str">
        <f>IFERROR(F768 * VLOOKUP(D768, profissionais!B:D, 3, 0),"")</f>
        <v/>
      </c>
    </row>
    <row r="769">
      <c r="D769" s="4"/>
      <c r="E769" s="4"/>
      <c r="F769" s="4" t="str">
        <f>IFERROR(VLOOKUP(E769, servicos!B:C, 2, 0),"")</f>
        <v/>
      </c>
      <c r="G769" s="4" t="str">
        <f>IFERROR(F769 * VLOOKUP(D769, profissionais!B:D, 3, 0),"")</f>
        <v/>
      </c>
    </row>
    <row r="770">
      <c r="D770" s="4"/>
      <c r="E770" s="4"/>
      <c r="F770" s="4" t="str">
        <f>IFERROR(VLOOKUP(E770, servicos!B:C, 2, 0),"")</f>
        <v/>
      </c>
      <c r="G770" s="4" t="str">
        <f>IFERROR(F770 * VLOOKUP(D770, profissionais!B:D, 3, 0),"")</f>
        <v/>
      </c>
    </row>
    <row r="771">
      <c r="D771" s="4"/>
      <c r="E771" s="4"/>
      <c r="F771" s="4" t="str">
        <f>IFERROR(VLOOKUP(E771, servicos!B:C, 2, 0),"")</f>
        <v/>
      </c>
      <c r="G771" s="4" t="str">
        <f>IFERROR(F771 * VLOOKUP(D771, profissionais!B:D, 3, 0),"")</f>
        <v/>
      </c>
    </row>
    <row r="772">
      <c r="D772" s="4"/>
      <c r="E772" s="4"/>
      <c r="F772" s="4" t="str">
        <f>IFERROR(VLOOKUP(E772, servicos!B:C, 2, 0),"")</f>
        <v/>
      </c>
      <c r="G772" s="4" t="str">
        <f>IFERROR(F772 * VLOOKUP(D772, profissionais!B:D, 3, 0),"")</f>
        <v/>
      </c>
    </row>
    <row r="773">
      <c r="D773" s="4"/>
      <c r="E773" s="4"/>
      <c r="F773" s="4" t="str">
        <f>IFERROR(VLOOKUP(E773, servicos!B:C, 2, 0),"")</f>
        <v/>
      </c>
      <c r="G773" s="4" t="str">
        <f>IFERROR(F773 * VLOOKUP(D773, profissionais!B:D, 3, 0),"")</f>
        <v/>
      </c>
    </row>
    <row r="774">
      <c r="D774" s="4"/>
      <c r="E774" s="4"/>
      <c r="F774" s="4" t="str">
        <f>IFERROR(VLOOKUP(E774, servicos!B:C, 2, 0),"")</f>
        <v/>
      </c>
      <c r="G774" s="4" t="str">
        <f>IFERROR(F774 * VLOOKUP(D774, profissionais!B:D, 3, 0),"")</f>
        <v/>
      </c>
    </row>
    <row r="775">
      <c r="D775" s="4"/>
      <c r="E775" s="4"/>
      <c r="F775" s="4" t="str">
        <f>IFERROR(VLOOKUP(E775, servicos!B:C, 2, 0),"")</f>
        <v/>
      </c>
      <c r="G775" s="4" t="str">
        <f>IFERROR(F775 * VLOOKUP(D775, profissionais!B:D, 3, 0),"")</f>
        <v/>
      </c>
    </row>
    <row r="776">
      <c r="D776" s="4"/>
      <c r="E776" s="4"/>
      <c r="F776" s="4" t="str">
        <f>IFERROR(VLOOKUP(E776, servicos!B:C, 2, 0),"")</f>
        <v/>
      </c>
      <c r="G776" s="4" t="str">
        <f>IFERROR(F776 * VLOOKUP(D776, profissionais!B:D, 3, 0),"")</f>
        <v/>
      </c>
    </row>
    <row r="777">
      <c r="D777" s="4"/>
      <c r="E777" s="4"/>
      <c r="F777" s="4" t="str">
        <f>IFERROR(VLOOKUP(E777, servicos!B:C, 2, 0),"")</f>
        <v/>
      </c>
      <c r="G777" s="4" t="str">
        <f>IFERROR(F777 * VLOOKUP(D777, profissionais!B:D, 3, 0),"")</f>
        <v/>
      </c>
    </row>
    <row r="778">
      <c r="D778" s="4"/>
      <c r="E778" s="4"/>
      <c r="F778" s="4" t="str">
        <f>IFERROR(VLOOKUP(E778, servicos!B:C, 2, 0),"")</f>
        <v/>
      </c>
      <c r="G778" s="4" t="str">
        <f>IFERROR(F778 * VLOOKUP(D778, profissionais!B:D, 3, 0),"")</f>
        <v/>
      </c>
    </row>
    <row r="779">
      <c r="D779" s="4"/>
      <c r="E779" s="4"/>
      <c r="F779" s="4" t="str">
        <f>IFERROR(VLOOKUP(E779, servicos!B:C, 2, 0),"")</f>
        <v/>
      </c>
      <c r="G779" s="4" t="str">
        <f>IFERROR(F779 * VLOOKUP(D779, profissionais!B:D, 3, 0),"")</f>
        <v/>
      </c>
    </row>
    <row r="780">
      <c r="D780" s="4"/>
      <c r="E780" s="4"/>
      <c r="F780" s="4" t="str">
        <f>IFERROR(VLOOKUP(E780, servicos!B:C, 2, 0),"")</f>
        <v/>
      </c>
      <c r="G780" s="4" t="str">
        <f>IFERROR(F780 * VLOOKUP(D780, profissionais!B:D, 3, 0),"")</f>
        <v/>
      </c>
    </row>
    <row r="781">
      <c r="D781" s="4"/>
      <c r="E781" s="4"/>
      <c r="F781" s="4" t="str">
        <f>IFERROR(VLOOKUP(E781, servicos!B:C, 2, 0),"")</f>
        <v/>
      </c>
      <c r="G781" s="4" t="str">
        <f>IFERROR(F781 * VLOOKUP(D781, profissionais!B:D, 3, 0),"")</f>
        <v/>
      </c>
    </row>
    <row r="782">
      <c r="D782" s="4"/>
      <c r="E782" s="4"/>
      <c r="F782" s="4" t="str">
        <f>IFERROR(VLOOKUP(E782, servicos!B:C, 2, 0),"")</f>
        <v/>
      </c>
      <c r="G782" s="4" t="str">
        <f>IFERROR(F782 * VLOOKUP(D782, profissionais!B:D, 3, 0),"")</f>
        <v/>
      </c>
    </row>
    <row r="783">
      <c r="D783" s="4"/>
      <c r="E783" s="4"/>
      <c r="F783" s="4" t="str">
        <f>IFERROR(VLOOKUP(E783, servicos!B:C, 2, 0),"")</f>
        <v/>
      </c>
      <c r="G783" s="4" t="str">
        <f>IFERROR(F783 * VLOOKUP(D783, profissionais!B:D, 3, 0),"")</f>
        <v/>
      </c>
    </row>
    <row r="784">
      <c r="D784" s="4"/>
      <c r="E784" s="4"/>
      <c r="F784" s="4" t="str">
        <f>IFERROR(VLOOKUP(E784, servicos!B:C, 2, 0),"")</f>
        <v/>
      </c>
      <c r="G784" s="4" t="str">
        <f>IFERROR(F784 * VLOOKUP(D784, profissionais!B:D, 3, 0),"")</f>
        <v/>
      </c>
    </row>
    <row r="785">
      <c r="D785" s="4"/>
      <c r="E785" s="4"/>
      <c r="F785" s="4" t="str">
        <f>IFERROR(VLOOKUP(E785, servicos!B:C, 2, 0),"")</f>
        <v/>
      </c>
      <c r="G785" s="4" t="str">
        <f>IFERROR(F785 * VLOOKUP(D785, profissionais!B:D, 3, 0),"")</f>
        <v/>
      </c>
    </row>
    <row r="786">
      <c r="D786" s="4"/>
      <c r="E786" s="4"/>
      <c r="F786" s="4" t="str">
        <f>IFERROR(VLOOKUP(E786, servicos!B:C, 2, 0),"")</f>
        <v/>
      </c>
      <c r="G786" s="4" t="str">
        <f>IFERROR(F786 * VLOOKUP(D786, profissionais!B:D, 3, 0),"")</f>
        <v/>
      </c>
    </row>
    <row r="787">
      <c r="D787" s="4"/>
      <c r="E787" s="4"/>
      <c r="F787" s="4" t="str">
        <f>IFERROR(VLOOKUP(E787, servicos!B:C, 2, 0),"")</f>
        <v/>
      </c>
      <c r="G787" s="4" t="str">
        <f>IFERROR(F787 * VLOOKUP(D787, profissionais!B:D, 3, 0),"")</f>
        <v/>
      </c>
    </row>
    <row r="788">
      <c r="D788" s="4"/>
      <c r="E788" s="4"/>
      <c r="F788" s="4" t="str">
        <f>IFERROR(VLOOKUP(E788, servicos!B:C, 2, 0),"")</f>
        <v/>
      </c>
      <c r="G788" s="4" t="str">
        <f>IFERROR(F788 * VLOOKUP(D788, profissionais!B:D, 3, 0),"")</f>
        <v/>
      </c>
    </row>
    <row r="789">
      <c r="D789" s="4"/>
      <c r="E789" s="4"/>
      <c r="F789" s="4" t="str">
        <f>IFERROR(VLOOKUP(E789, servicos!B:C, 2, 0),"")</f>
        <v/>
      </c>
      <c r="G789" s="4" t="str">
        <f>IFERROR(F789 * VLOOKUP(D789, profissionais!B:D, 3, 0),"")</f>
        <v/>
      </c>
    </row>
    <row r="790">
      <c r="D790" s="4"/>
      <c r="E790" s="4"/>
      <c r="F790" s="4" t="str">
        <f>IFERROR(VLOOKUP(E790, servicos!B:C, 2, 0),"")</f>
        <v/>
      </c>
      <c r="G790" s="4" t="str">
        <f>IFERROR(F790 * VLOOKUP(D790, profissionais!B:D, 3, 0),"")</f>
        <v/>
      </c>
    </row>
    <row r="791">
      <c r="D791" s="4"/>
      <c r="E791" s="4"/>
      <c r="F791" s="4" t="str">
        <f>IFERROR(VLOOKUP(E791, servicos!B:C, 2, 0),"")</f>
        <v/>
      </c>
      <c r="G791" s="4" t="str">
        <f>IFERROR(F791 * VLOOKUP(D791, profissionais!B:D, 3, 0),"")</f>
        <v/>
      </c>
    </row>
    <row r="792">
      <c r="D792" s="4"/>
      <c r="E792" s="4"/>
      <c r="F792" s="4" t="str">
        <f>IFERROR(VLOOKUP(E792, servicos!B:C, 2, 0),"")</f>
        <v/>
      </c>
      <c r="G792" s="4" t="str">
        <f>IFERROR(F792 * VLOOKUP(D792, profissionais!B:D, 3, 0),"")</f>
        <v/>
      </c>
    </row>
    <row r="793">
      <c r="D793" s="4"/>
      <c r="E793" s="4"/>
      <c r="F793" s="4" t="str">
        <f>IFERROR(VLOOKUP(E793, servicos!B:C, 2, 0),"")</f>
        <v/>
      </c>
      <c r="G793" s="4" t="str">
        <f>IFERROR(F793 * VLOOKUP(D793, profissionais!B:D, 3, 0),"")</f>
        <v/>
      </c>
    </row>
    <row r="794">
      <c r="D794" s="4"/>
      <c r="E794" s="4"/>
      <c r="F794" s="4" t="str">
        <f>IFERROR(VLOOKUP(E794, servicos!B:C, 2, 0),"")</f>
        <v/>
      </c>
      <c r="G794" s="4" t="str">
        <f>IFERROR(F794 * VLOOKUP(D794, profissionais!B:D, 3, 0),"")</f>
        <v/>
      </c>
    </row>
    <row r="795">
      <c r="D795" s="4"/>
      <c r="E795" s="4"/>
      <c r="F795" s="4" t="str">
        <f>IFERROR(VLOOKUP(E795, servicos!B:C, 2, 0),"")</f>
        <v/>
      </c>
      <c r="G795" s="4" t="str">
        <f>IFERROR(F795 * VLOOKUP(D795, profissionais!B:D, 3, 0),"")</f>
        <v/>
      </c>
    </row>
    <row r="796">
      <c r="D796" s="4"/>
      <c r="E796" s="4"/>
      <c r="F796" s="4" t="str">
        <f>IFERROR(VLOOKUP(E796, servicos!B:C, 2, 0),"")</f>
        <v/>
      </c>
      <c r="G796" s="4" t="str">
        <f>IFERROR(F796 * VLOOKUP(D796, profissionais!B:D, 3, 0),"")</f>
        <v/>
      </c>
    </row>
    <row r="797">
      <c r="D797" s="4"/>
      <c r="E797" s="4"/>
      <c r="F797" s="4" t="str">
        <f>IFERROR(VLOOKUP(E797, servicos!B:C, 2, 0),"")</f>
        <v/>
      </c>
      <c r="G797" s="4" t="str">
        <f>IFERROR(F797 * VLOOKUP(D797, profissionais!B:D, 3, 0),"")</f>
        <v/>
      </c>
    </row>
    <row r="798">
      <c r="D798" s="4"/>
      <c r="E798" s="4"/>
      <c r="F798" s="4" t="str">
        <f>IFERROR(VLOOKUP(E798, servicos!B:C, 2, 0),"")</f>
        <v/>
      </c>
      <c r="G798" s="4" t="str">
        <f>IFERROR(F798 * VLOOKUP(D798, profissionais!B:D, 3, 0),"")</f>
        <v/>
      </c>
    </row>
    <row r="799">
      <c r="D799" s="4"/>
      <c r="E799" s="4"/>
      <c r="F799" s="4" t="str">
        <f>IFERROR(VLOOKUP(E799, servicos!B:C, 2, 0),"")</f>
        <v/>
      </c>
      <c r="G799" s="4" t="str">
        <f>IFERROR(F799 * VLOOKUP(D799, profissionais!B:D, 3, 0),"")</f>
        <v/>
      </c>
    </row>
    <row r="800">
      <c r="D800" s="4"/>
      <c r="E800" s="4"/>
      <c r="F800" s="4" t="str">
        <f>IFERROR(VLOOKUP(E800, servicos!B:C, 2, 0),"")</f>
        <v/>
      </c>
      <c r="G800" s="4" t="str">
        <f>IFERROR(F800 * VLOOKUP(D800, profissionais!B:D, 3, 0),"")</f>
        <v/>
      </c>
    </row>
    <row r="801">
      <c r="D801" s="4"/>
      <c r="E801" s="4"/>
      <c r="F801" s="4" t="str">
        <f>IFERROR(VLOOKUP(E801, servicos!B:C, 2, 0),"")</f>
        <v/>
      </c>
      <c r="G801" s="4" t="str">
        <f>IFERROR(F801 * VLOOKUP(D801, profissionais!B:D, 3, 0),"")</f>
        <v/>
      </c>
    </row>
    <row r="802">
      <c r="D802" s="4"/>
      <c r="E802" s="4"/>
      <c r="F802" s="4" t="str">
        <f>IFERROR(VLOOKUP(E802, servicos!B:C, 2, 0),"")</f>
        <v/>
      </c>
      <c r="G802" s="4" t="str">
        <f>IFERROR(F802 * VLOOKUP(D802, profissionais!B:D, 3, 0),"")</f>
        <v/>
      </c>
    </row>
    <row r="803">
      <c r="D803" s="4"/>
      <c r="E803" s="4"/>
      <c r="F803" s="4" t="str">
        <f>IFERROR(VLOOKUP(E803, servicos!B:C, 2, 0),"")</f>
        <v/>
      </c>
      <c r="G803" s="4" t="str">
        <f>IFERROR(F803 * VLOOKUP(D803, profissionais!B:D, 3, 0),"")</f>
        <v/>
      </c>
    </row>
    <row r="804">
      <c r="D804" s="4"/>
      <c r="E804" s="4"/>
      <c r="F804" s="4" t="str">
        <f>IFERROR(VLOOKUP(E804, servicos!B:C, 2, 0),"")</f>
        <v/>
      </c>
      <c r="G804" s="4" t="str">
        <f>IFERROR(F804 * VLOOKUP(D804, profissionais!B:D, 3, 0),"")</f>
        <v/>
      </c>
    </row>
    <row r="805">
      <c r="D805" s="4"/>
      <c r="E805" s="4"/>
      <c r="F805" s="4" t="str">
        <f>IFERROR(VLOOKUP(E805, servicos!B:C, 2, 0),"")</f>
        <v/>
      </c>
      <c r="G805" s="4" t="str">
        <f>IFERROR(F805 * VLOOKUP(D805, profissionais!B:D, 3, 0),"")</f>
        <v/>
      </c>
    </row>
    <row r="806">
      <c r="D806" s="4"/>
      <c r="E806" s="4"/>
      <c r="F806" s="4" t="str">
        <f>IFERROR(VLOOKUP(E806, servicos!B:C, 2, 0),"")</f>
        <v/>
      </c>
      <c r="G806" s="4" t="str">
        <f>IFERROR(F806 * VLOOKUP(D806, profissionais!B:D, 3, 0),"")</f>
        <v/>
      </c>
    </row>
    <row r="807">
      <c r="D807" s="4"/>
      <c r="E807" s="4"/>
      <c r="F807" s="4" t="str">
        <f>IFERROR(VLOOKUP(E807, servicos!B:C, 2, 0),"")</f>
        <v/>
      </c>
      <c r="G807" s="4" t="str">
        <f>IFERROR(F807 * VLOOKUP(D807, profissionais!B:D, 3, 0),"")</f>
        <v/>
      </c>
    </row>
    <row r="808">
      <c r="D808" s="4"/>
      <c r="E808" s="4"/>
      <c r="F808" s="4" t="str">
        <f>IFERROR(VLOOKUP(E808, servicos!B:C, 2, 0),"")</f>
        <v/>
      </c>
      <c r="G808" s="4" t="str">
        <f>IFERROR(F808 * VLOOKUP(D808, profissionais!B:D, 3, 0),"")</f>
        <v/>
      </c>
    </row>
    <row r="809">
      <c r="D809" s="4"/>
      <c r="E809" s="4"/>
      <c r="F809" s="4" t="str">
        <f>IFERROR(VLOOKUP(E809, servicos!B:C, 2, 0),"")</f>
        <v/>
      </c>
      <c r="G809" s="4" t="str">
        <f>IFERROR(F809 * VLOOKUP(D809, profissionais!B:D, 3, 0),"")</f>
        <v/>
      </c>
    </row>
    <row r="810">
      <c r="D810" s="4"/>
      <c r="E810" s="4"/>
      <c r="F810" s="4" t="str">
        <f>IFERROR(VLOOKUP(E810, servicos!B:C, 2, 0),"")</f>
        <v/>
      </c>
      <c r="G810" s="4" t="str">
        <f>IFERROR(F810 * VLOOKUP(D810, profissionais!B:D, 3, 0),"")</f>
        <v/>
      </c>
    </row>
    <row r="811">
      <c r="D811" s="4"/>
      <c r="E811" s="4"/>
      <c r="F811" s="4" t="str">
        <f>IFERROR(VLOOKUP(E811, servicos!B:C, 2, 0),"")</f>
        <v/>
      </c>
      <c r="G811" s="4" t="str">
        <f>IFERROR(F811 * VLOOKUP(D811, profissionais!B:D, 3, 0),"")</f>
        <v/>
      </c>
    </row>
    <row r="812">
      <c r="D812" s="4"/>
      <c r="E812" s="4"/>
      <c r="F812" s="4" t="str">
        <f>IFERROR(VLOOKUP(E812, servicos!B:C, 2, 0),"")</f>
        <v/>
      </c>
      <c r="G812" s="4" t="str">
        <f>IFERROR(F812 * VLOOKUP(D812, profissionais!B:D, 3, 0),"")</f>
        <v/>
      </c>
    </row>
    <row r="813">
      <c r="D813" s="4"/>
      <c r="E813" s="4"/>
      <c r="F813" s="4" t="str">
        <f>IFERROR(VLOOKUP(E813, servicos!B:C, 2, 0),"")</f>
        <v/>
      </c>
      <c r="G813" s="4" t="str">
        <f>IFERROR(F813 * VLOOKUP(D813, profissionais!B:D, 3, 0),"")</f>
        <v/>
      </c>
    </row>
    <row r="814">
      <c r="D814" s="4"/>
      <c r="E814" s="4"/>
      <c r="F814" s="4" t="str">
        <f>IFERROR(VLOOKUP(E814, servicos!B:C, 2, 0),"")</f>
        <v/>
      </c>
      <c r="G814" s="4" t="str">
        <f>IFERROR(F814 * VLOOKUP(D814, profissionais!B:D, 3, 0),"")</f>
        <v/>
      </c>
    </row>
    <row r="815">
      <c r="D815" s="4"/>
      <c r="E815" s="4"/>
      <c r="F815" s="4" t="str">
        <f>IFERROR(VLOOKUP(E815, servicos!B:C, 2, 0),"")</f>
        <v/>
      </c>
      <c r="G815" s="4" t="str">
        <f>IFERROR(F815 * VLOOKUP(D815, profissionais!B:D, 3, 0),"")</f>
        <v/>
      </c>
    </row>
    <row r="816">
      <c r="D816" s="4"/>
      <c r="E816" s="4"/>
      <c r="F816" s="4" t="str">
        <f>IFERROR(VLOOKUP(E816, servicos!B:C, 2, 0),"")</f>
        <v/>
      </c>
      <c r="G816" s="4" t="str">
        <f>IFERROR(F816 * VLOOKUP(D816, profissionais!B:D, 3, 0),"")</f>
        <v/>
      </c>
    </row>
    <row r="817">
      <c r="D817" s="4"/>
      <c r="E817" s="4"/>
      <c r="F817" s="4" t="str">
        <f>IFERROR(VLOOKUP(E817, servicos!B:C, 2, 0),"")</f>
        <v/>
      </c>
      <c r="G817" s="4" t="str">
        <f>IFERROR(F817 * VLOOKUP(D817, profissionais!B:D, 3, 0),"")</f>
        <v/>
      </c>
    </row>
    <row r="818">
      <c r="D818" s="4"/>
      <c r="E818" s="4"/>
      <c r="F818" s="4" t="str">
        <f>IFERROR(VLOOKUP(E818, servicos!B:C, 2, 0),"")</f>
        <v/>
      </c>
      <c r="G818" s="4" t="str">
        <f>IFERROR(F818 * VLOOKUP(D818, profissionais!B:D, 3, 0),"")</f>
        <v/>
      </c>
    </row>
    <row r="819">
      <c r="D819" s="4"/>
      <c r="E819" s="4"/>
      <c r="F819" s="4" t="str">
        <f>IFERROR(VLOOKUP(E819, servicos!B:C, 2, 0),"")</f>
        <v/>
      </c>
      <c r="G819" s="4" t="str">
        <f>IFERROR(F819 * VLOOKUP(D819, profissionais!B:D, 3, 0),"")</f>
        <v/>
      </c>
    </row>
    <row r="820">
      <c r="D820" s="4"/>
      <c r="E820" s="4"/>
      <c r="F820" s="4" t="str">
        <f>IFERROR(VLOOKUP(E820, servicos!B:C, 2, 0),"")</f>
        <v/>
      </c>
      <c r="G820" s="4" t="str">
        <f>IFERROR(F820 * VLOOKUP(D820, profissionais!B:D, 3, 0),"")</f>
        <v/>
      </c>
    </row>
    <row r="821">
      <c r="D821" s="4"/>
      <c r="E821" s="4"/>
      <c r="F821" s="4" t="str">
        <f>IFERROR(VLOOKUP(E821, servicos!B:C, 2, 0),"")</f>
        <v/>
      </c>
      <c r="G821" s="4" t="str">
        <f>IFERROR(F821 * VLOOKUP(D821, profissionais!B:D, 3, 0),"")</f>
        <v/>
      </c>
    </row>
    <row r="822">
      <c r="D822" s="4"/>
      <c r="E822" s="4"/>
      <c r="F822" s="4" t="str">
        <f>IFERROR(VLOOKUP(E822, servicos!B:C, 2, 0),"")</f>
        <v/>
      </c>
      <c r="G822" s="4" t="str">
        <f>IFERROR(F822 * VLOOKUP(D822, profissionais!B:D, 3, 0),"")</f>
        <v/>
      </c>
    </row>
    <row r="823">
      <c r="D823" s="4"/>
      <c r="E823" s="4"/>
      <c r="F823" s="4" t="str">
        <f>IFERROR(VLOOKUP(E823, servicos!B:C, 2, 0),"")</f>
        <v/>
      </c>
      <c r="G823" s="4" t="str">
        <f>IFERROR(F823 * VLOOKUP(D823, profissionais!B:D, 3, 0),"")</f>
        <v/>
      </c>
    </row>
    <row r="824">
      <c r="D824" s="4"/>
      <c r="E824" s="4"/>
      <c r="F824" s="4" t="str">
        <f>IFERROR(VLOOKUP(E824, servicos!B:C, 2, 0),"")</f>
        <v/>
      </c>
      <c r="G824" s="4" t="str">
        <f>IFERROR(F824 * VLOOKUP(D824, profissionais!B:D, 3, 0),"")</f>
        <v/>
      </c>
    </row>
    <row r="825">
      <c r="D825" s="4"/>
      <c r="E825" s="4"/>
      <c r="F825" s="4" t="str">
        <f>IFERROR(VLOOKUP(E825, servicos!B:C, 2, 0),"")</f>
        <v/>
      </c>
      <c r="G825" s="4" t="str">
        <f>IFERROR(F825 * VLOOKUP(D825, profissionais!B:D, 3, 0),"")</f>
        <v/>
      </c>
    </row>
    <row r="826">
      <c r="D826" s="4"/>
      <c r="E826" s="4"/>
      <c r="F826" s="4" t="str">
        <f>IFERROR(VLOOKUP(E826, servicos!B:C, 2, 0),"")</f>
        <v/>
      </c>
      <c r="G826" s="4" t="str">
        <f>IFERROR(F826 * VLOOKUP(D826, profissionais!B:D, 3, 0),"")</f>
        <v/>
      </c>
    </row>
    <row r="827">
      <c r="D827" s="4"/>
      <c r="E827" s="4"/>
      <c r="F827" s="4" t="str">
        <f>IFERROR(VLOOKUP(E827, servicos!B:C, 2, 0),"")</f>
        <v/>
      </c>
      <c r="G827" s="4" t="str">
        <f>IFERROR(F827 * VLOOKUP(D827, profissionais!B:D, 3, 0),"")</f>
        <v/>
      </c>
    </row>
    <row r="828">
      <c r="D828" s="4"/>
      <c r="E828" s="4"/>
      <c r="F828" s="4" t="str">
        <f>IFERROR(VLOOKUP(E828, servicos!B:C, 2, 0),"")</f>
        <v/>
      </c>
      <c r="G828" s="4" t="str">
        <f>IFERROR(F828 * VLOOKUP(D828, profissionais!B:D, 3, 0),"")</f>
        <v/>
      </c>
    </row>
    <row r="829">
      <c r="D829" s="4"/>
      <c r="E829" s="4"/>
      <c r="F829" s="4" t="str">
        <f>IFERROR(VLOOKUP(E829, servicos!B:C, 2, 0),"")</f>
        <v/>
      </c>
      <c r="G829" s="4" t="str">
        <f>IFERROR(F829 * VLOOKUP(D829, profissionais!B:D, 3, 0),"")</f>
        <v/>
      </c>
    </row>
    <row r="830">
      <c r="D830" s="4"/>
      <c r="E830" s="4"/>
      <c r="F830" s="4" t="str">
        <f>IFERROR(VLOOKUP(E830, servicos!B:C, 2, 0),"")</f>
        <v/>
      </c>
      <c r="G830" s="4" t="str">
        <f>IFERROR(F830 * VLOOKUP(D830, profissionais!B:D, 3, 0),"")</f>
        <v/>
      </c>
    </row>
    <row r="831">
      <c r="D831" s="4"/>
      <c r="E831" s="4"/>
      <c r="F831" s="4" t="str">
        <f>IFERROR(VLOOKUP(E831, servicos!B:C, 2, 0),"")</f>
        <v/>
      </c>
      <c r="G831" s="4" t="str">
        <f>IFERROR(F831 * VLOOKUP(D831, profissionais!B:D, 3, 0),"")</f>
        <v/>
      </c>
    </row>
    <row r="832">
      <c r="D832" s="4"/>
      <c r="E832" s="4"/>
      <c r="F832" s="4" t="str">
        <f>IFERROR(VLOOKUP(E832, servicos!B:C, 2, 0),"")</f>
        <v/>
      </c>
      <c r="G832" s="4" t="str">
        <f>IFERROR(F832 * VLOOKUP(D832, profissionais!B:D, 3, 0),"")</f>
        <v/>
      </c>
    </row>
    <row r="833">
      <c r="D833" s="4"/>
      <c r="E833" s="4"/>
      <c r="F833" s="4" t="str">
        <f>IFERROR(VLOOKUP(E833, servicos!B:C, 2, 0),"")</f>
        <v/>
      </c>
      <c r="G833" s="4" t="str">
        <f>IFERROR(F833 * VLOOKUP(D833, profissionais!B:D, 3, 0),"")</f>
        <v/>
      </c>
    </row>
    <row r="834">
      <c r="D834" s="4"/>
      <c r="E834" s="4"/>
      <c r="F834" s="4" t="str">
        <f>IFERROR(VLOOKUP(E834, servicos!B:C, 2, 0),"")</f>
        <v/>
      </c>
      <c r="G834" s="4" t="str">
        <f>IFERROR(F834 * VLOOKUP(D834, profissionais!B:D, 3, 0),"")</f>
        <v/>
      </c>
    </row>
    <row r="835">
      <c r="D835" s="4"/>
      <c r="E835" s="4"/>
      <c r="F835" s="4" t="str">
        <f>IFERROR(VLOOKUP(E835, servicos!B:C, 2, 0),"")</f>
        <v/>
      </c>
      <c r="G835" s="4" t="str">
        <f>IFERROR(F835 * VLOOKUP(D835, profissionais!B:D, 3, 0),"")</f>
        <v/>
      </c>
    </row>
    <row r="836">
      <c r="D836" s="4"/>
      <c r="E836" s="4"/>
      <c r="F836" s="4" t="str">
        <f>IFERROR(VLOOKUP(E836, servicos!B:C, 2, 0),"")</f>
        <v/>
      </c>
      <c r="G836" s="4" t="str">
        <f>IFERROR(F836 * VLOOKUP(D836, profissionais!B:D, 3, 0),"")</f>
        <v/>
      </c>
    </row>
    <row r="837">
      <c r="D837" s="4"/>
      <c r="E837" s="4"/>
      <c r="F837" s="4" t="str">
        <f>IFERROR(VLOOKUP(E837, servicos!B:C, 2, 0),"")</f>
        <v/>
      </c>
      <c r="G837" s="4" t="str">
        <f>IFERROR(F837 * VLOOKUP(D837, profissionais!B:D, 3, 0),"")</f>
        <v/>
      </c>
    </row>
    <row r="838">
      <c r="D838" s="4"/>
      <c r="E838" s="4"/>
      <c r="F838" s="4" t="str">
        <f>IFERROR(VLOOKUP(E838, servicos!B:C, 2, 0),"")</f>
        <v/>
      </c>
      <c r="G838" s="4" t="str">
        <f>IFERROR(F838 * VLOOKUP(D838, profissionais!B:D, 3, 0),"")</f>
        <v/>
      </c>
    </row>
    <row r="839">
      <c r="D839" s="4"/>
      <c r="E839" s="4"/>
      <c r="F839" s="4" t="str">
        <f>IFERROR(VLOOKUP(E839, servicos!B:C, 2, 0),"")</f>
        <v/>
      </c>
      <c r="G839" s="4" t="str">
        <f>IFERROR(F839 * VLOOKUP(D839, profissionais!B:D, 3, 0),"")</f>
        <v/>
      </c>
    </row>
    <row r="840">
      <c r="D840" s="4"/>
      <c r="E840" s="4"/>
      <c r="F840" s="4" t="str">
        <f>IFERROR(VLOOKUP(E840, servicos!B:C, 2, 0),"")</f>
        <v/>
      </c>
      <c r="G840" s="4" t="str">
        <f>IFERROR(F840 * VLOOKUP(D840, profissionais!B:D, 3, 0),"")</f>
        <v/>
      </c>
    </row>
    <row r="841">
      <c r="D841" s="4"/>
      <c r="E841" s="4"/>
      <c r="F841" s="4" t="str">
        <f>IFERROR(VLOOKUP(E841, servicos!B:C, 2, 0),"")</f>
        <v/>
      </c>
      <c r="G841" s="4" t="str">
        <f>IFERROR(F841 * VLOOKUP(D841, profissionais!B:D, 3, 0),"")</f>
        <v/>
      </c>
    </row>
    <row r="842">
      <c r="D842" s="4"/>
      <c r="E842" s="4"/>
      <c r="F842" s="4" t="str">
        <f>IFERROR(VLOOKUP(E842, servicos!B:C, 2, 0),"")</f>
        <v/>
      </c>
      <c r="G842" s="4" t="str">
        <f>IFERROR(F842 * VLOOKUP(D842, profissionais!B:D, 3, 0),"")</f>
        <v/>
      </c>
    </row>
    <row r="843">
      <c r="D843" s="4"/>
      <c r="E843" s="4"/>
      <c r="F843" s="4" t="str">
        <f>IFERROR(VLOOKUP(E843, servicos!B:C, 2, 0),"")</f>
        <v/>
      </c>
      <c r="G843" s="4" t="str">
        <f>IFERROR(F843 * VLOOKUP(D843, profissionais!B:D, 3, 0),"")</f>
        <v/>
      </c>
    </row>
    <row r="844">
      <c r="D844" s="4"/>
      <c r="E844" s="4"/>
      <c r="F844" s="4" t="str">
        <f>IFERROR(VLOOKUP(E844, servicos!B:C, 2, 0),"")</f>
        <v/>
      </c>
      <c r="G844" s="4" t="str">
        <f>IFERROR(F844 * VLOOKUP(D844, profissionais!B:D, 3, 0),"")</f>
        <v/>
      </c>
    </row>
    <row r="845">
      <c r="D845" s="4"/>
      <c r="E845" s="4"/>
      <c r="F845" s="4" t="str">
        <f>IFERROR(VLOOKUP(E845, servicos!B:C, 2, 0),"")</f>
        <v/>
      </c>
      <c r="G845" s="4" t="str">
        <f>IFERROR(F845 * VLOOKUP(D845, profissionais!B:D, 3, 0),"")</f>
        <v/>
      </c>
    </row>
    <row r="846">
      <c r="D846" s="4"/>
      <c r="E846" s="4"/>
      <c r="F846" s="4" t="str">
        <f>IFERROR(VLOOKUP(E846, servicos!B:C, 2, 0),"")</f>
        <v/>
      </c>
      <c r="G846" s="4" t="str">
        <f>IFERROR(F846 * VLOOKUP(D846, profissionais!B:D, 3, 0),"")</f>
        <v/>
      </c>
    </row>
    <row r="847">
      <c r="D847" s="4"/>
      <c r="E847" s="4"/>
      <c r="F847" s="4" t="str">
        <f>IFERROR(VLOOKUP(E847, servicos!B:C, 2, 0),"")</f>
        <v/>
      </c>
      <c r="G847" s="4" t="str">
        <f>IFERROR(F847 * VLOOKUP(D847, profissionais!B:D, 3, 0),"")</f>
        <v/>
      </c>
    </row>
    <row r="848">
      <c r="D848" s="4"/>
      <c r="E848" s="4"/>
      <c r="F848" s="4" t="str">
        <f>IFERROR(VLOOKUP(E848, servicos!B:C, 2, 0),"")</f>
        <v/>
      </c>
      <c r="G848" s="4" t="str">
        <f>IFERROR(F848 * VLOOKUP(D848, profissionais!B:D, 3, 0),"")</f>
        <v/>
      </c>
    </row>
    <row r="849">
      <c r="D849" s="4"/>
      <c r="E849" s="4"/>
      <c r="F849" s="4" t="str">
        <f>IFERROR(VLOOKUP(E849, servicos!B:C, 2, 0),"")</f>
        <v/>
      </c>
      <c r="G849" s="4" t="str">
        <f>IFERROR(F849 * VLOOKUP(D849, profissionais!B:D, 3, 0),"")</f>
        <v/>
      </c>
    </row>
    <row r="850">
      <c r="D850" s="4"/>
      <c r="E850" s="4"/>
      <c r="F850" s="4" t="str">
        <f>IFERROR(VLOOKUP(E850, servicos!B:C, 2, 0),"")</f>
        <v/>
      </c>
      <c r="G850" s="4" t="str">
        <f>IFERROR(F850 * VLOOKUP(D850, profissionais!B:D, 3, 0),"")</f>
        <v/>
      </c>
    </row>
    <row r="851">
      <c r="D851" s="4"/>
      <c r="E851" s="4"/>
      <c r="F851" s="4" t="str">
        <f>IFERROR(VLOOKUP(E851, servicos!B:C, 2, 0),"")</f>
        <v/>
      </c>
      <c r="G851" s="4" t="str">
        <f>IFERROR(F851 * VLOOKUP(D851, profissionais!B:D, 3, 0),"")</f>
        <v/>
      </c>
    </row>
    <row r="852">
      <c r="D852" s="4"/>
      <c r="E852" s="4"/>
      <c r="F852" s="4" t="str">
        <f>IFERROR(VLOOKUP(E852, servicos!B:C, 2, 0),"")</f>
        <v/>
      </c>
      <c r="G852" s="4" t="str">
        <f>IFERROR(F852 * VLOOKUP(D852, profissionais!B:D, 3, 0),"")</f>
        <v/>
      </c>
    </row>
    <row r="853">
      <c r="D853" s="4"/>
      <c r="E853" s="4"/>
      <c r="F853" s="4" t="str">
        <f>IFERROR(VLOOKUP(E853, servicos!B:C, 2, 0),"")</f>
        <v/>
      </c>
      <c r="G853" s="4" t="str">
        <f>IFERROR(F853 * VLOOKUP(D853, profissionais!B:D, 3, 0),"")</f>
        <v/>
      </c>
    </row>
    <row r="854">
      <c r="D854" s="4"/>
      <c r="E854" s="4"/>
      <c r="F854" s="4" t="str">
        <f>IFERROR(VLOOKUP(E854, servicos!B:C, 2, 0),"")</f>
        <v/>
      </c>
      <c r="G854" s="4" t="str">
        <f>IFERROR(F854 * VLOOKUP(D854, profissionais!B:D, 3, 0),"")</f>
        <v/>
      </c>
    </row>
    <row r="855">
      <c r="D855" s="4"/>
      <c r="E855" s="4"/>
      <c r="F855" s="4" t="str">
        <f>IFERROR(VLOOKUP(E855, servicos!B:C, 2, 0),"")</f>
        <v/>
      </c>
      <c r="G855" s="4" t="str">
        <f>IFERROR(F855 * VLOOKUP(D855, profissionais!B:D, 3, 0),"")</f>
        <v/>
      </c>
    </row>
    <row r="856">
      <c r="D856" s="4"/>
      <c r="E856" s="4"/>
      <c r="F856" s="4" t="str">
        <f>IFERROR(VLOOKUP(E856, servicos!B:C, 2, 0),"")</f>
        <v/>
      </c>
      <c r="G856" s="4" t="str">
        <f>IFERROR(F856 * VLOOKUP(D856, profissionais!B:D, 3, 0),"")</f>
        <v/>
      </c>
    </row>
    <row r="857">
      <c r="D857" s="4"/>
      <c r="E857" s="4"/>
      <c r="F857" s="4" t="str">
        <f>IFERROR(VLOOKUP(E857, servicos!B:C, 2, 0),"")</f>
        <v/>
      </c>
      <c r="G857" s="4" t="str">
        <f>IFERROR(F857 * VLOOKUP(D857, profissionais!B:D, 3, 0),"")</f>
        <v/>
      </c>
    </row>
    <row r="858">
      <c r="D858" s="4"/>
      <c r="E858" s="4"/>
      <c r="F858" s="4" t="str">
        <f>IFERROR(VLOOKUP(E858, servicos!B:C, 2, 0),"")</f>
        <v/>
      </c>
      <c r="G858" s="4" t="str">
        <f>IFERROR(F858 * VLOOKUP(D858, profissionais!B:D, 3, 0),"")</f>
        <v/>
      </c>
    </row>
    <row r="859">
      <c r="D859" s="4"/>
      <c r="E859" s="4"/>
      <c r="F859" s="4" t="str">
        <f>IFERROR(VLOOKUP(E859, servicos!B:C, 2, 0),"")</f>
        <v/>
      </c>
      <c r="G859" s="4" t="str">
        <f>IFERROR(F859 * VLOOKUP(D859, profissionais!B:D, 3, 0),"")</f>
        <v/>
      </c>
    </row>
    <row r="860">
      <c r="D860" s="4"/>
      <c r="E860" s="4"/>
      <c r="F860" s="4" t="str">
        <f>IFERROR(VLOOKUP(E860, servicos!B:C, 2, 0),"")</f>
        <v/>
      </c>
      <c r="G860" s="4" t="str">
        <f>IFERROR(F860 * VLOOKUP(D860, profissionais!B:D, 3, 0),"")</f>
        <v/>
      </c>
    </row>
    <row r="861">
      <c r="D861" s="4"/>
      <c r="E861" s="4"/>
      <c r="F861" s="4" t="str">
        <f>IFERROR(VLOOKUP(E861, servicos!B:C, 2, 0),"")</f>
        <v/>
      </c>
      <c r="G861" s="4" t="str">
        <f>IFERROR(F861 * VLOOKUP(D861, profissionais!B:D, 3, 0),"")</f>
        <v/>
      </c>
    </row>
    <row r="862">
      <c r="D862" s="4"/>
      <c r="E862" s="4"/>
      <c r="F862" s="4" t="str">
        <f>IFERROR(VLOOKUP(E862, servicos!B:C, 2, 0),"")</f>
        <v/>
      </c>
      <c r="G862" s="4" t="str">
        <f>IFERROR(F862 * VLOOKUP(D862, profissionais!B:D, 3, 0),"")</f>
        <v/>
      </c>
    </row>
    <row r="863">
      <c r="D863" s="4"/>
      <c r="E863" s="4"/>
      <c r="F863" s="4" t="str">
        <f>IFERROR(VLOOKUP(E863, servicos!B:C, 2, 0),"")</f>
        <v/>
      </c>
      <c r="G863" s="4" t="str">
        <f>IFERROR(F863 * VLOOKUP(D863, profissionais!B:D, 3, 0),"")</f>
        <v/>
      </c>
    </row>
    <row r="864">
      <c r="D864" s="4"/>
      <c r="E864" s="4"/>
      <c r="F864" s="4" t="str">
        <f>IFERROR(VLOOKUP(E864, servicos!B:C, 2, 0),"")</f>
        <v/>
      </c>
      <c r="G864" s="4" t="str">
        <f>IFERROR(F864 * VLOOKUP(D864, profissionais!B:D, 3, 0),"")</f>
        <v/>
      </c>
    </row>
    <row r="865">
      <c r="D865" s="4"/>
      <c r="E865" s="4"/>
      <c r="F865" s="4" t="str">
        <f>IFERROR(VLOOKUP(E865, servicos!B:C, 2, 0),"")</f>
        <v/>
      </c>
      <c r="G865" s="4" t="str">
        <f>IFERROR(F865 * VLOOKUP(D865, profissionais!B:D, 3, 0),"")</f>
        <v/>
      </c>
    </row>
    <row r="866">
      <c r="D866" s="4"/>
      <c r="E866" s="4"/>
      <c r="F866" s="4" t="str">
        <f>IFERROR(VLOOKUP(E866, servicos!B:C, 2, 0),"")</f>
        <v/>
      </c>
      <c r="G866" s="4" t="str">
        <f>IFERROR(F866 * VLOOKUP(D866, profissionais!B:D, 3, 0),"")</f>
        <v/>
      </c>
    </row>
    <row r="867">
      <c r="D867" s="4"/>
      <c r="E867" s="4"/>
      <c r="F867" s="4" t="str">
        <f>IFERROR(VLOOKUP(E867, servicos!B:C, 2, 0),"")</f>
        <v/>
      </c>
      <c r="G867" s="4" t="str">
        <f>IFERROR(F867 * VLOOKUP(D867, profissionais!B:D, 3, 0),"")</f>
        <v/>
      </c>
    </row>
    <row r="868">
      <c r="D868" s="4"/>
      <c r="E868" s="4"/>
      <c r="F868" s="4" t="str">
        <f>IFERROR(VLOOKUP(E868, servicos!B:C, 2, 0),"")</f>
        <v/>
      </c>
      <c r="G868" s="4" t="str">
        <f>IFERROR(F868 * VLOOKUP(D868, profissionais!B:D, 3, 0),"")</f>
        <v/>
      </c>
    </row>
    <row r="869">
      <c r="D869" s="4"/>
      <c r="E869" s="4"/>
      <c r="F869" s="4" t="str">
        <f>IFERROR(VLOOKUP(E869, servicos!B:C, 2, 0),"")</f>
        <v/>
      </c>
      <c r="G869" s="4" t="str">
        <f>IFERROR(F869 * VLOOKUP(D869, profissionais!B:D, 3, 0),"")</f>
        <v/>
      </c>
    </row>
    <row r="870">
      <c r="D870" s="4"/>
      <c r="E870" s="4"/>
      <c r="F870" s="4" t="str">
        <f>IFERROR(VLOOKUP(E870, servicos!B:C, 2, 0),"")</f>
        <v/>
      </c>
      <c r="G870" s="4" t="str">
        <f>IFERROR(F870 * VLOOKUP(D870, profissionais!B:D, 3, 0),"")</f>
        <v/>
      </c>
    </row>
    <row r="871">
      <c r="D871" s="4"/>
      <c r="E871" s="4"/>
      <c r="F871" s="4" t="str">
        <f>IFERROR(VLOOKUP(E871, servicos!B:C, 2, 0),"")</f>
        <v/>
      </c>
      <c r="G871" s="4" t="str">
        <f>IFERROR(F871 * VLOOKUP(D871, profissionais!B:D, 3, 0),"")</f>
        <v/>
      </c>
    </row>
    <row r="872">
      <c r="D872" s="4"/>
      <c r="E872" s="4"/>
      <c r="F872" s="4" t="str">
        <f>IFERROR(VLOOKUP(E872, servicos!B:C, 2, 0),"")</f>
        <v/>
      </c>
      <c r="G872" s="4" t="str">
        <f>IFERROR(F872 * VLOOKUP(D872, profissionais!B:D, 3, 0),"")</f>
        <v/>
      </c>
    </row>
    <row r="873">
      <c r="D873" s="4"/>
      <c r="E873" s="4"/>
      <c r="F873" s="4" t="str">
        <f>IFERROR(VLOOKUP(E873, servicos!B:C, 2, 0),"")</f>
        <v/>
      </c>
      <c r="G873" s="4" t="str">
        <f>IFERROR(F873 * VLOOKUP(D873, profissionais!B:D, 3, 0),"")</f>
        <v/>
      </c>
    </row>
    <row r="874">
      <c r="D874" s="4"/>
      <c r="E874" s="4"/>
      <c r="F874" s="4" t="str">
        <f>IFERROR(VLOOKUP(E874, servicos!B:C, 2, 0),"")</f>
        <v/>
      </c>
      <c r="G874" s="4" t="str">
        <f>IFERROR(F874 * VLOOKUP(D874, profissionais!B:D, 3, 0),"")</f>
        <v/>
      </c>
    </row>
    <row r="875">
      <c r="D875" s="4"/>
      <c r="E875" s="4"/>
      <c r="F875" s="4" t="str">
        <f>IFERROR(VLOOKUP(E875, servicos!B:C, 2, 0),"")</f>
        <v/>
      </c>
      <c r="G875" s="4" t="str">
        <f>IFERROR(F875 * VLOOKUP(D875, profissionais!B:D, 3, 0),"")</f>
        <v/>
      </c>
    </row>
    <row r="876">
      <c r="D876" s="4"/>
      <c r="E876" s="4"/>
      <c r="F876" s="4" t="str">
        <f>IFERROR(VLOOKUP(E876, servicos!B:C, 2, 0),"")</f>
        <v/>
      </c>
      <c r="G876" s="4" t="str">
        <f>IFERROR(F876 * VLOOKUP(D876, profissionais!B:D, 3, 0),"")</f>
        <v/>
      </c>
    </row>
    <row r="877">
      <c r="D877" s="4"/>
      <c r="E877" s="4"/>
      <c r="F877" s="4" t="str">
        <f>IFERROR(VLOOKUP(E877, servicos!B:C, 2, 0),"")</f>
        <v/>
      </c>
      <c r="G877" s="4" t="str">
        <f>IFERROR(F877 * VLOOKUP(D877, profissionais!B:D, 3, 0),"")</f>
        <v/>
      </c>
    </row>
    <row r="878">
      <c r="D878" s="4"/>
      <c r="E878" s="4"/>
      <c r="F878" s="4" t="str">
        <f>IFERROR(VLOOKUP(E878, servicos!B:C, 2, 0),"")</f>
        <v/>
      </c>
      <c r="G878" s="4" t="str">
        <f>IFERROR(F878 * VLOOKUP(D878, profissionais!B:D, 3, 0),"")</f>
        <v/>
      </c>
    </row>
    <row r="879">
      <c r="D879" s="4"/>
      <c r="E879" s="4"/>
      <c r="F879" s="4" t="str">
        <f>IFERROR(VLOOKUP(E879, servicos!B:C, 2, 0),"")</f>
        <v/>
      </c>
      <c r="G879" s="4" t="str">
        <f>IFERROR(F879 * VLOOKUP(D879, profissionais!B:D, 3, 0),"")</f>
        <v/>
      </c>
    </row>
    <row r="880">
      <c r="D880" s="4"/>
      <c r="E880" s="4"/>
      <c r="F880" s="4" t="str">
        <f>IFERROR(VLOOKUP(E880, servicos!B:C, 2, 0),"")</f>
        <v/>
      </c>
      <c r="G880" s="4" t="str">
        <f>IFERROR(F880 * VLOOKUP(D880, profissionais!B:D, 3, 0),"")</f>
        <v/>
      </c>
    </row>
    <row r="881">
      <c r="D881" s="4"/>
      <c r="E881" s="4"/>
      <c r="F881" s="4" t="str">
        <f>IFERROR(VLOOKUP(E881, servicos!B:C, 2, 0),"")</f>
        <v/>
      </c>
      <c r="G881" s="4" t="str">
        <f>IFERROR(F881 * VLOOKUP(D881, profissionais!B:D, 3, 0),"")</f>
        <v/>
      </c>
    </row>
    <row r="882">
      <c r="D882" s="4"/>
      <c r="E882" s="4"/>
      <c r="F882" s="4" t="str">
        <f>IFERROR(VLOOKUP(E882, servicos!B:C, 2, 0),"")</f>
        <v/>
      </c>
      <c r="G882" s="4" t="str">
        <f>IFERROR(F882 * VLOOKUP(D882, profissionais!B:D, 3, 0),"")</f>
        <v/>
      </c>
    </row>
    <row r="883">
      <c r="D883" s="4"/>
      <c r="E883" s="4"/>
      <c r="F883" s="4" t="str">
        <f>IFERROR(VLOOKUP(E883, servicos!B:C, 2, 0),"")</f>
        <v/>
      </c>
      <c r="G883" s="4" t="str">
        <f>IFERROR(F883 * VLOOKUP(D883, profissionais!B:D, 3, 0),"")</f>
        <v/>
      </c>
    </row>
    <row r="884">
      <c r="D884" s="4"/>
      <c r="E884" s="4"/>
      <c r="F884" s="4" t="str">
        <f>IFERROR(VLOOKUP(E884, servicos!B:C, 2, 0),"")</f>
        <v/>
      </c>
      <c r="G884" s="4" t="str">
        <f>IFERROR(F884 * VLOOKUP(D884, profissionais!B:D, 3, 0),"")</f>
        <v/>
      </c>
    </row>
    <row r="885">
      <c r="D885" s="4"/>
      <c r="E885" s="4"/>
      <c r="F885" s="4" t="str">
        <f>IFERROR(VLOOKUP(E885, servicos!B:C, 2, 0),"")</f>
        <v/>
      </c>
      <c r="G885" s="4" t="str">
        <f>IFERROR(F885 * VLOOKUP(D885, profissionais!B:D, 3, 0),"")</f>
        <v/>
      </c>
    </row>
    <row r="886">
      <c r="D886" s="4"/>
      <c r="E886" s="4"/>
      <c r="F886" s="4" t="str">
        <f>IFERROR(VLOOKUP(E886, servicos!B:C, 2, 0),"")</f>
        <v/>
      </c>
      <c r="G886" s="4" t="str">
        <f>IFERROR(F886 * VLOOKUP(D886, profissionais!B:D, 3, 0),"")</f>
        <v/>
      </c>
    </row>
    <row r="887">
      <c r="D887" s="4"/>
      <c r="E887" s="4"/>
      <c r="F887" s="4" t="str">
        <f>IFERROR(VLOOKUP(E887, servicos!B:C, 2, 0),"")</f>
        <v/>
      </c>
      <c r="G887" s="4" t="str">
        <f>IFERROR(F887 * VLOOKUP(D887, profissionais!B:D, 3, 0),"")</f>
        <v/>
      </c>
    </row>
    <row r="888">
      <c r="D888" s="4"/>
      <c r="E888" s="4"/>
      <c r="F888" s="4" t="str">
        <f>IFERROR(VLOOKUP(E888, servicos!B:C, 2, 0),"")</f>
        <v/>
      </c>
      <c r="G888" s="4" t="str">
        <f>IFERROR(F888 * VLOOKUP(D888, profissionais!B:D, 3, 0),"")</f>
        <v/>
      </c>
    </row>
    <row r="889">
      <c r="D889" s="4"/>
      <c r="E889" s="4"/>
      <c r="F889" s="4" t="str">
        <f>IFERROR(VLOOKUP(E889, servicos!B:C, 2, 0),"")</f>
        <v/>
      </c>
      <c r="G889" s="4" t="str">
        <f>IFERROR(F889 * VLOOKUP(D889, profissionais!B:D, 3, 0),"")</f>
        <v/>
      </c>
    </row>
    <row r="890">
      <c r="D890" s="4"/>
      <c r="E890" s="4"/>
      <c r="F890" s="4" t="str">
        <f>IFERROR(VLOOKUP(E890, servicos!B:C, 2, 0),"")</f>
        <v/>
      </c>
      <c r="G890" s="4" t="str">
        <f>IFERROR(F890 * VLOOKUP(D890, profissionais!B:D, 3, 0),"")</f>
        <v/>
      </c>
    </row>
    <row r="891">
      <c r="D891" s="4"/>
      <c r="E891" s="4"/>
      <c r="F891" s="4" t="str">
        <f>IFERROR(VLOOKUP(E891, servicos!B:C, 2, 0),"")</f>
        <v/>
      </c>
      <c r="G891" s="4" t="str">
        <f>IFERROR(F891 * VLOOKUP(D891, profissionais!B:D, 3, 0),"")</f>
        <v/>
      </c>
    </row>
    <row r="892">
      <c r="D892" s="4"/>
      <c r="E892" s="4"/>
      <c r="F892" s="4" t="str">
        <f>IFERROR(VLOOKUP(E892, servicos!B:C, 2, 0),"")</f>
        <v/>
      </c>
      <c r="G892" s="4" t="str">
        <f>IFERROR(F892 * VLOOKUP(D892, profissionais!B:D, 3, 0),"")</f>
        <v/>
      </c>
    </row>
    <row r="893">
      <c r="D893" s="4"/>
      <c r="E893" s="4"/>
      <c r="F893" s="4" t="str">
        <f>IFERROR(VLOOKUP(E893, servicos!B:C, 2, 0),"")</f>
        <v/>
      </c>
      <c r="G893" s="4" t="str">
        <f>IFERROR(F893 * VLOOKUP(D893, profissionais!B:D, 3, 0),"")</f>
        <v/>
      </c>
    </row>
    <row r="894">
      <c r="D894" s="4"/>
      <c r="E894" s="4"/>
      <c r="F894" s="4" t="str">
        <f>IFERROR(VLOOKUP(E894, servicos!B:C, 2, 0),"")</f>
        <v/>
      </c>
      <c r="G894" s="4" t="str">
        <f>IFERROR(F894 * VLOOKUP(D894, profissionais!B:D, 3, 0),"")</f>
        <v/>
      </c>
    </row>
    <row r="895">
      <c r="D895" s="4"/>
      <c r="E895" s="4"/>
      <c r="F895" s="4" t="str">
        <f>IFERROR(VLOOKUP(E895, servicos!B:C, 2, 0),"")</f>
        <v/>
      </c>
      <c r="G895" s="4" t="str">
        <f>IFERROR(F895 * VLOOKUP(D895, profissionais!B:D, 3, 0),"")</f>
        <v/>
      </c>
    </row>
    <row r="896">
      <c r="D896" s="4"/>
      <c r="E896" s="4"/>
      <c r="F896" s="4" t="str">
        <f>IFERROR(VLOOKUP(E896, servicos!B:C, 2, 0),"")</f>
        <v/>
      </c>
      <c r="G896" s="4" t="str">
        <f>IFERROR(F896 * VLOOKUP(D896, profissionais!B:D, 3, 0),"")</f>
        <v/>
      </c>
    </row>
    <row r="897">
      <c r="D897" s="4"/>
      <c r="E897" s="4"/>
      <c r="F897" s="4" t="str">
        <f>IFERROR(VLOOKUP(E897, servicos!B:C, 2, 0),"")</f>
        <v/>
      </c>
      <c r="G897" s="4" t="str">
        <f>IFERROR(F897 * VLOOKUP(D897, profissionais!B:D, 3, 0),"")</f>
        <v/>
      </c>
    </row>
    <row r="898">
      <c r="D898" s="4"/>
      <c r="E898" s="4"/>
      <c r="F898" s="4" t="str">
        <f>IFERROR(VLOOKUP(E898, servicos!B:C, 2, 0),"")</f>
        <v/>
      </c>
      <c r="G898" s="4" t="str">
        <f>IFERROR(F898 * VLOOKUP(D898, profissionais!B:D, 3, 0),"")</f>
        <v/>
      </c>
    </row>
    <row r="899">
      <c r="D899" s="4"/>
      <c r="E899" s="4"/>
      <c r="F899" s="4" t="str">
        <f>IFERROR(VLOOKUP(E899, servicos!B:C, 2, 0),"")</f>
        <v/>
      </c>
      <c r="G899" s="4" t="str">
        <f>IFERROR(F899 * VLOOKUP(D899, profissionais!B:D, 3, 0),"")</f>
        <v/>
      </c>
    </row>
    <row r="900">
      <c r="D900" s="4"/>
      <c r="E900" s="4"/>
      <c r="F900" s="4" t="str">
        <f>IFERROR(VLOOKUP(E900, servicos!B:C, 2, 0),"")</f>
        <v/>
      </c>
      <c r="G900" s="4" t="str">
        <f>IFERROR(F900 * VLOOKUP(D900, profissionais!B:D, 3, 0),"")</f>
        <v/>
      </c>
    </row>
    <row r="901">
      <c r="D901" s="4"/>
      <c r="E901" s="4"/>
      <c r="F901" s="4" t="str">
        <f>IFERROR(VLOOKUP(E901, servicos!B:C, 2, 0),"")</f>
        <v/>
      </c>
      <c r="G901" s="4" t="str">
        <f>IFERROR(F901 * VLOOKUP(D901, profissionais!B:D, 3, 0),"")</f>
        <v/>
      </c>
    </row>
    <row r="902">
      <c r="D902" s="4"/>
      <c r="E902" s="4"/>
      <c r="F902" s="4" t="str">
        <f>IFERROR(VLOOKUP(E902, servicos!B:C, 2, 0),"")</f>
        <v/>
      </c>
      <c r="G902" s="4" t="str">
        <f>IFERROR(F902 * VLOOKUP(D902, profissionais!B:D, 3, 0),"")</f>
        <v/>
      </c>
    </row>
    <row r="903">
      <c r="D903" s="4"/>
      <c r="E903" s="4"/>
      <c r="F903" s="4" t="str">
        <f>IFERROR(VLOOKUP(E903, servicos!B:C, 2, 0),"")</f>
        <v/>
      </c>
      <c r="G903" s="4" t="str">
        <f>IFERROR(F903 * VLOOKUP(D903, profissionais!B:D, 3, 0),"")</f>
        <v/>
      </c>
    </row>
    <row r="904">
      <c r="D904" s="4"/>
      <c r="E904" s="4"/>
      <c r="F904" s="4" t="str">
        <f>IFERROR(VLOOKUP(E904, servicos!B:C, 2, 0),"")</f>
        <v/>
      </c>
      <c r="G904" s="4" t="str">
        <f>IFERROR(F904 * VLOOKUP(D904, profissionais!B:D, 3, 0),"")</f>
        <v/>
      </c>
    </row>
    <row r="905">
      <c r="D905" s="4"/>
      <c r="E905" s="4"/>
      <c r="F905" s="4" t="str">
        <f>IFERROR(VLOOKUP(E905, servicos!B:C, 2, 0),"")</f>
        <v/>
      </c>
      <c r="G905" s="4" t="str">
        <f>IFERROR(F905 * VLOOKUP(D905, profissionais!B:D, 3, 0),"")</f>
        <v/>
      </c>
    </row>
    <row r="906">
      <c r="D906" s="4"/>
      <c r="E906" s="4"/>
      <c r="F906" s="4" t="str">
        <f>IFERROR(VLOOKUP(E906, servicos!B:C, 2, 0),"")</f>
        <v/>
      </c>
      <c r="G906" s="4" t="str">
        <f>IFERROR(F906 * VLOOKUP(D906, profissionais!B:D, 3, 0),"")</f>
        <v/>
      </c>
    </row>
    <row r="907">
      <c r="D907" s="4"/>
      <c r="E907" s="4"/>
      <c r="F907" s="4" t="str">
        <f>IFERROR(VLOOKUP(E907, servicos!B:C, 2, 0),"")</f>
        <v/>
      </c>
      <c r="G907" s="4" t="str">
        <f>IFERROR(F907 * VLOOKUP(D907, profissionais!B:D, 3, 0),"")</f>
        <v/>
      </c>
    </row>
    <row r="908">
      <c r="D908" s="4"/>
      <c r="E908" s="4"/>
      <c r="F908" s="4" t="str">
        <f>IFERROR(VLOOKUP(E908, servicos!B:C, 2, 0),"")</f>
        <v/>
      </c>
      <c r="G908" s="4" t="str">
        <f>IFERROR(F908 * VLOOKUP(D908, profissionais!B:D, 3, 0),"")</f>
        <v/>
      </c>
    </row>
    <row r="909">
      <c r="D909" s="4"/>
      <c r="E909" s="4"/>
      <c r="F909" s="4" t="str">
        <f>IFERROR(VLOOKUP(E909, servicos!B:C, 2, 0),"")</f>
        <v/>
      </c>
      <c r="G909" s="4" t="str">
        <f>IFERROR(F909 * VLOOKUP(D909, profissionais!B:D, 3, 0),"")</f>
        <v/>
      </c>
    </row>
    <row r="910">
      <c r="D910" s="4"/>
      <c r="E910" s="4"/>
      <c r="F910" s="4" t="str">
        <f>IFERROR(VLOOKUP(E910, servicos!B:C, 2, 0),"")</f>
        <v/>
      </c>
      <c r="G910" s="4" t="str">
        <f>IFERROR(F910 * VLOOKUP(D910, profissionais!B:D, 3, 0),"")</f>
        <v/>
      </c>
    </row>
    <row r="911">
      <c r="D911" s="4"/>
      <c r="E911" s="4"/>
      <c r="F911" s="4" t="str">
        <f>IFERROR(VLOOKUP(E911, servicos!B:C, 2, 0),"")</f>
        <v/>
      </c>
      <c r="G911" s="4" t="str">
        <f>IFERROR(F911 * VLOOKUP(D911, profissionais!B:D, 3, 0),"")</f>
        <v/>
      </c>
    </row>
    <row r="912">
      <c r="D912" s="4"/>
      <c r="E912" s="4"/>
      <c r="F912" s="4" t="str">
        <f>IFERROR(VLOOKUP(E912, servicos!B:C, 2, 0),"")</f>
        <v/>
      </c>
      <c r="G912" s="4" t="str">
        <f>IFERROR(F912 * VLOOKUP(D912, profissionais!B:D, 3, 0),"")</f>
        <v/>
      </c>
    </row>
    <row r="913">
      <c r="D913" s="4"/>
      <c r="E913" s="4"/>
      <c r="F913" s="4" t="str">
        <f>IFERROR(VLOOKUP(E913, servicos!B:C, 2, 0),"")</f>
        <v/>
      </c>
      <c r="G913" s="4" t="str">
        <f>IFERROR(F913 * VLOOKUP(D913, profissionais!B:D, 3, 0),"")</f>
        <v/>
      </c>
    </row>
    <row r="914">
      <c r="D914" s="4"/>
      <c r="E914" s="4"/>
      <c r="F914" s="4" t="str">
        <f>IFERROR(VLOOKUP(E914, servicos!B:C, 2, 0),"")</f>
        <v/>
      </c>
      <c r="G914" s="4" t="str">
        <f>IFERROR(F914 * VLOOKUP(D914, profissionais!B:D, 3, 0),"")</f>
        <v/>
      </c>
    </row>
    <row r="915">
      <c r="D915" s="4"/>
      <c r="E915" s="4"/>
      <c r="F915" s="4" t="str">
        <f>IFERROR(VLOOKUP(E915, servicos!B:C, 2, 0),"")</f>
        <v/>
      </c>
      <c r="G915" s="4" t="str">
        <f>IFERROR(F915 * VLOOKUP(D915, profissionais!B:D, 3, 0),"")</f>
        <v/>
      </c>
    </row>
    <row r="916">
      <c r="D916" s="4"/>
      <c r="E916" s="4"/>
      <c r="F916" s="4" t="str">
        <f>IFERROR(VLOOKUP(E916, servicos!B:C, 2, 0),"")</f>
        <v/>
      </c>
      <c r="G916" s="4" t="str">
        <f>IFERROR(F916 * VLOOKUP(D916, profissionais!B:D, 3, 0),"")</f>
        <v/>
      </c>
    </row>
    <row r="917">
      <c r="D917" s="4"/>
      <c r="E917" s="4"/>
      <c r="F917" s="4" t="str">
        <f>IFERROR(VLOOKUP(E917, servicos!B:C, 2, 0),"")</f>
        <v/>
      </c>
      <c r="G917" s="4" t="str">
        <f>IFERROR(F917 * VLOOKUP(D917, profissionais!B:D, 3, 0),"")</f>
        <v/>
      </c>
    </row>
    <row r="918">
      <c r="D918" s="4"/>
      <c r="E918" s="4"/>
      <c r="F918" s="4" t="str">
        <f>IFERROR(VLOOKUP(E918, servicos!B:C, 2, 0),"")</f>
        <v/>
      </c>
      <c r="G918" s="4" t="str">
        <f>IFERROR(F918 * VLOOKUP(D918, profissionais!B:D, 3, 0),"")</f>
        <v/>
      </c>
    </row>
    <row r="919">
      <c r="D919" s="4"/>
      <c r="E919" s="4"/>
      <c r="F919" s="4" t="str">
        <f>IFERROR(VLOOKUP(E919, servicos!B:C, 2, 0),"")</f>
        <v/>
      </c>
      <c r="G919" s="4" t="str">
        <f>IFERROR(F919 * VLOOKUP(D919, profissionais!B:D, 3, 0),"")</f>
        <v/>
      </c>
    </row>
    <row r="920">
      <c r="D920" s="4"/>
      <c r="E920" s="4"/>
      <c r="F920" s="4" t="str">
        <f>IFERROR(VLOOKUP(E920, servicos!B:C, 2, 0),"")</f>
        <v/>
      </c>
      <c r="G920" s="4" t="str">
        <f>IFERROR(F920 * VLOOKUP(D920, profissionais!B:D, 3, 0),"")</f>
        <v/>
      </c>
    </row>
    <row r="921">
      <c r="D921" s="4"/>
      <c r="E921" s="4"/>
      <c r="F921" s="4" t="str">
        <f>IFERROR(VLOOKUP(E921, servicos!B:C, 2, 0),"")</f>
        <v/>
      </c>
      <c r="G921" s="4" t="str">
        <f>IFERROR(F921 * VLOOKUP(D921, profissionais!B:D, 3, 0),"")</f>
        <v/>
      </c>
    </row>
    <row r="922">
      <c r="D922" s="4"/>
      <c r="E922" s="4"/>
      <c r="F922" s="4" t="str">
        <f>IFERROR(VLOOKUP(E922, servicos!B:C, 2, 0),"")</f>
        <v/>
      </c>
      <c r="G922" s="4" t="str">
        <f>IFERROR(F922 * VLOOKUP(D922, profissionais!B:D, 3, 0),"")</f>
        <v/>
      </c>
    </row>
    <row r="923">
      <c r="D923" s="4"/>
      <c r="E923" s="4"/>
      <c r="F923" s="4" t="str">
        <f>IFERROR(VLOOKUP(E923, servicos!B:C, 2, 0),"")</f>
        <v/>
      </c>
      <c r="G923" s="4" t="str">
        <f>IFERROR(F923 * VLOOKUP(D923, profissionais!B:D, 3, 0),"")</f>
        <v/>
      </c>
    </row>
    <row r="924">
      <c r="D924" s="4"/>
      <c r="E924" s="4"/>
      <c r="F924" s="4" t="str">
        <f>IFERROR(VLOOKUP(E924, servicos!B:C, 2, 0),"")</f>
        <v/>
      </c>
      <c r="G924" s="4" t="str">
        <f>IFERROR(F924 * VLOOKUP(D924, profissionais!B:D, 3, 0),"")</f>
        <v/>
      </c>
    </row>
    <row r="925">
      <c r="D925" s="4"/>
      <c r="E925" s="4"/>
      <c r="F925" s="4" t="str">
        <f>IFERROR(VLOOKUP(E925, servicos!B:C, 2, 0),"")</f>
        <v/>
      </c>
      <c r="G925" s="4" t="str">
        <f>IFERROR(F925 * VLOOKUP(D925, profissionais!B:D, 3, 0),"")</f>
        <v/>
      </c>
    </row>
    <row r="926">
      <c r="D926" s="4"/>
      <c r="E926" s="4"/>
      <c r="F926" s="4" t="str">
        <f>IFERROR(VLOOKUP(E926, servicos!B:C, 2, 0),"")</f>
        <v/>
      </c>
      <c r="G926" s="4" t="str">
        <f>IFERROR(F926 * VLOOKUP(D926, profissionais!B:D, 3, 0),"")</f>
        <v/>
      </c>
    </row>
    <row r="927">
      <c r="D927" s="4"/>
      <c r="E927" s="4"/>
      <c r="F927" s="4" t="str">
        <f>IFERROR(VLOOKUP(E927, servicos!B:C, 2, 0),"")</f>
        <v/>
      </c>
      <c r="G927" s="4" t="str">
        <f>IFERROR(F927 * VLOOKUP(D927, profissionais!B:D, 3, 0),"")</f>
        <v/>
      </c>
    </row>
    <row r="928">
      <c r="D928" s="4"/>
      <c r="E928" s="4"/>
      <c r="F928" s="4" t="str">
        <f>IFERROR(VLOOKUP(E928, servicos!B:C, 2, 0),"")</f>
        <v/>
      </c>
      <c r="G928" s="4" t="str">
        <f>IFERROR(F928 * VLOOKUP(D928, profissionais!B:D, 3, 0),"")</f>
        <v/>
      </c>
    </row>
    <row r="929">
      <c r="D929" s="4"/>
      <c r="E929" s="4"/>
      <c r="F929" s="4" t="str">
        <f>IFERROR(VLOOKUP(E929, servicos!B:C, 2, 0),"")</f>
        <v/>
      </c>
      <c r="G929" s="4" t="str">
        <f>IFERROR(F929 * VLOOKUP(D929, profissionais!B:D, 3, 0),"")</f>
        <v/>
      </c>
    </row>
    <row r="930">
      <c r="D930" s="4"/>
      <c r="E930" s="4"/>
      <c r="F930" s="4" t="str">
        <f>IFERROR(VLOOKUP(E930, servicos!B:C, 2, 0),"")</f>
        <v/>
      </c>
      <c r="G930" s="4" t="str">
        <f>IFERROR(F930 * VLOOKUP(D930, profissionais!B:D, 3, 0),"")</f>
        <v/>
      </c>
    </row>
    <row r="931">
      <c r="D931" s="4"/>
      <c r="E931" s="4"/>
      <c r="F931" s="4" t="str">
        <f>IFERROR(VLOOKUP(E931, servicos!B:C, 2, 0),"")</f>
        <v/>
      </c>
      <c r="G931" s="4" t="str">
        <f>IFERROR(F931 * VLOOKUP(D931, profissionais!B:D, 3, 0),"")</f>
        <v/>
      </c>
    </row>
    <row r="932">
      <c r="D932" s="4"/>
      <c r="E932" s="4"/>
      <c r="F932" s="4" t="str">
        <f>IFERROR(VLOOKUP(E932, servicos!B:C, 2, 0),"")</f>
        <v/>
      </c>
      <c r="G932" s="4" t="str">
        <f>IFERROR(F932 * VLOOKUP(D932, profissionais!B:D, 3, 0),"")</f>
        <v/>
      </c>
    </row>
    <row r="933">
      <c r="D933" s="4"/>
      <c r="E933" s="4"/>
      <c r="F933" s="4" t="str">
        <f>IFERROR(VLOOKUP(E933, servicos!B:C, 2, 0),"")</f>
        <v/>
      </c>
      <c r="G933" s="4" t="str">
        <f>IFERROR(F933 * VLOOKUP(D933, profissionais!B:D, 3, 0),"")</f>
        <v/>
      </c>
    </row>
    <row r="934">
      <c r="D934" s="4"/>
      <c r="E934" s="4"/>
      <c r="F934" s="4" t="str">
        <f>IFERROR(VLOOKUP(E934, servicos!B:C, 2, 0),"")</f>
        <v/>
      </c>
      <c r="G934" s="4" t="str">
        <f>IFERROR(F934 * VLOOKUP(D934, profissionais!B:D, 3, 0),"")</f>
        <v/>
      </c>
    </row>
    <row r="935">
      <c r="D935" s="4"/>
      <c r="E935" s="4"/>
      <c r="F935" s="4" t="str">
        <f>IFERROR(VLOOKUP(E935, servicos!B:C, 2, 0),"")</f>
        <v/>
      </c>
      <c r="G935" s="4" t="str">
        <f>IFERROR(F935 * VLOOKUP(D935, profissionais!B:D, 3, 0),"")</f>
        <v/>
      </c>
    </row>
    <row r="936">
      <c r="D936" s="4"/>
      <c r="E936" s="4"/>
      <c r="F936" s="4" t="str">
        <f>IFERROR(VLOOKUP(E936, servicos!B:C, 2, 0),"")</f>
        <v/>
      </c>
      <c r="G936" s="4" t="str">
        <f>IFERROR(F936 * VLOOKUP(D936, profissionais!B:D, 3, 0),"")</f>
        <v/>
      </c>
    </row>
    <row r="937">
      <c r="D937" s="4"/>
      <c r="E937" s="4"/>
      <c r="F937" s="4" t="str">
        <f>IFERROR(VLOOKUP(E937, servicos!B:C, 2, 0),"")</f>
        <v/>
      </c>
      <c r="G937" s="4" t="str">
        <f>IFERROR(F937 * VLOOKUP(D937, profissionais!B:D, 3, 0),"")</f>
        <v/>
      </c>
    </row>
    <row r="938">
      <c r="D938" s="4"/>
      <c r="E938" s="4"/>
      <c r="F938" s="4" t="str">
        <f>IFERROR(VLOOKUP(E938, servicos!B:C, 2, 0),"")</f>
        <v/>
      </c>
      <c r="G938" s="4" t="str">
        <f>IFERROR(F938 * VLOOKUP(D938, profissionais!B:D, 3, 0),"")</f>
        <v/>
      </c>
    </row>
    <row r="939">
      <c r="D939" s="4"/>
      <c r="E939" s="4"/>
      <c r="F939" s="4" t="str">
        <f>IFERROR(VLOOKUP(E939, servicos!B:C, 2, 0),"")</f>
        <v/>
      </c>
      <c r="G939" s="4" t="str">
        <f>IFERROR(F939 * VLOOKUP(D939, profissionais!B:D, 3, 0),"")</f>
        <v/>
      </c>
    </row>
    <row r="940">
      <c r="D940" s="4"/>
      <c r="E940" s="4"/>
      <c r="F940" s="4" t="str">
        <f>IFERROR(VLOOKUP(E940, servicos!B:C, 2, 0),"")</f>
        <v/>
      </c>
      <c r="G940" s="4" t="str">
        <f>IFERROR(F940 * VLOOKUP(D940, profissionais!B:D, 3, 0),"")</f>
        <v/>
      </c>
    </row>
    <row r="941">
      <c r="D941" s="4"/>
      <c r="E941" s="4"/>
      <c r="F941" s="4" t="str">
        <f>IFERROR(VLOOKUP(E941, servicos!B:C, 2, 0),"")</f>
        <v/>
      </c>
      <c r="G941" s="4" t="str">
        <f>IFERROR(F941 * VLOOKUP(D941, profissionais!B:D, 3, 0),"")</f>
        <v/>
      </c>
    </row>
    <row r="942">
      <c r="D942" s="4"/>
      <c r="E942" s="4"/>
      <c r="F942" s="4" t="str">
        <f>IFERROR(VLOOKUP(E942, servicos!B:C, 2, 0),"")</f>
        <v/>
      </c>
      <c r="G942" s="4" t="str">
        <f>IFERROR(F942 * VLOOKUP(D942, profissionais!B:D, 3, 0),"")</f>
        <v/>
      </c>
    </row>
    <row r="943">
      <c r="D943" s="4"/>
      <c r="E943" s="4"/>
      <c r="F943" s="4" t="str">
        <f>IFERROR(VLOOKUP(E943, servicos!B:C, 2, 0),"")</f>
        <v/>
      </c>
      <c r="G943" s="4" t="str">
        <f>IFERROR(F943 * VLOOKUP(D943, profissionais!B:D, 3, 0),"")</f>
        <v/>
      </c>
    </row>
    <row r="944">
      <c r="D944" s="4"/>
      <c r="E944" s="4"/>
      <c r="F944" s="4" t="str">
        <f>IFERROR(VLOOKUP(E944, servicos!B:C, 2, 0),"")</f>
        <v/>
      </c>
      <c r="G944" s="4" t="str">
        <f>IFERROR(F944 * VLOOKUP(D944, profissionais!B:D, 3, 0),"")</f>
        <v/>
      </c>
    </row>
    <row r="945">
      <c r="D945" s="4"/>
      <c r="E945" s="4"/>
      <c r="F945" s="4" t="str">
        <f>IFERROR(VLOOKUP(E945, servicos!B:C, 2, 0),"")</f>
        <v/>
      </c>
      <c r="G945" s="4" t="str">
        <f>IFERROR(F945 * VLOOKUP(D945, profissionais!B:D, 3, 0),"")</f>
        <v/>
      </c>
    </row>
    <row r="946">
      <c r="D946" s="4"/>
      <c r="E946" s="4"/>
      <c r="F946" s="4" t="str">
        <f>IFERROR(VLOOKUP(E946, servicos!B:C, 2, 0),"")</f>
        <v/>
      </c>
      <c r="G946" s="4" t="str">
        <f>IFERROR(F946 * VLOOKUP(D946, profissionais!B:D, 3, 0),"")</f>
        <v/>
      </c>
    </row>
    <row r="947">
      <c r="D947" s="4"/>
      <c r="E947" s="4"/>
      <c r="F947" s="4" t="str">
        <f>IFERROR(VLOOKUP(E947, servicos!B:C, 2, 0),"")</f>
        <v/>
      </c>
      <c r="G947" s="4" t="str">
        <f>IFERROR(F947 * VLOOKUP(D947, profissionais!B:D, 3, 0),"")</f>
        <v/>
      </c>
    </row>
    <row r="948">
      <c r="D948" s="4"/>
      <c r="E948" s="4"/>
      <c r="F948" s="4" t="str">
        <f>IFERROR(VLOOKUP(E948, servicos!B:C, 2, 0),"")</f>
        <v/>
      </c>
      <c r="G948" s="4" t="str">
        <f>IFERROR(F948 * VLOOKUP(D948, profissionais!B:D, 3, 0),"")</f>
        <v/>
      </c>
    </row>
    <row r="949">
      <c r="D949" s="4"/>
      <c r="E949" s="4"/>
      <c r="F949" s="4" t="str">
        <f>IFERROR(VLOOKUP(E949, servicos!B:C, 2, 0),"")</f>
        <v/>
      </c>
      <c r="G949" s="4" t="str">
        <f>IFERROR(F949 * VLOOKUP(D949, profissionais!B:D, 3, 0),"")</f>
        <v/>
      </c>
    </row>
    <row r="950">
      <c r="D950" s="4"/>
      <c r="E950" s="4"/>
      <c r="F950" s="4" t="str">
        <f>IFERROR(VLOOKUP(E950, servicos!B:C, 2, 0),"")</f>
        <v/>
      </c>
      <c r="G950" s="4" t="str">
        <f>IFERROR(F950 * VLOOKUP(D950, profissionais!B:D, 3, 0),"")</f>
        <v/>
      </c>
    </row>
    <row r="951">
      <c r="D951" s="4"/>
      <c r="E951" s="4"/>
      <c r="F951" s="4" t="str">
        <f>IFERROR(VLOOKUP(E951, servicos!B:C, 2, 0),"")</f>
        <v/>
      </c>
      <c r="G951" s="4" t="str">
        <f>IFERROR(F951 * VLOOKUP(D951, profissionais!B:D, 3, 0),"")</f>
        <v/>
      </c>
    </row>
    <row r="952">
      <c r="D952" s="4"/>
      <c r="E952" s="4"/>
      <c r="F952" s="4" t="str">
        <f>IFERROR(VLOOKUP(E952, servicos!B:C, 2, 0),"")</f>
        <v/>
      </c>
      <c r="G952" s="4" t="str">
        <f>IFERROR(F952 * VLOOKUP(D952, profissionais!B:D, 3, 0),"")</f>
        <v/>
      </c>
    </row>
    <row r="953">
      <c r="D953" s="4"/>
      <c r="E953" s="4"/>
      <c r="F953" s="4" t="str">
        <f>IFERROR(VLOOKUP(E953, servicos!B:C, 2, 0),"")</f>
        <v/>
      </c>
      <c r="G953" s="4" t="str">
        <f>IFERROR(F953 * VLOOKUP(D953, profissionais!B:D, 3, 0),"")</f>
        <v/>
      </c>
    </row>
    <row r="954">
      <c r="D954" s="4"/>
      <c r="E954" s="4"/>
      <c r="F954" s="4" t="str">
        <f>IFERROR(VLOOKUP(E954, servicos!B:C, 2, 0),"")</f>
        <v/>
      </c>
      <c r="G954" s="4" t="str">
        <f>IFERROR(F954 * VLOOKUP(D954, profissionais!B:D, 3, 0),"")</f>
        <v/>
      </c>
    </row>
    <row r="955">
      <c r="D955" s="4"/>
      <c r="E955" s="4"/>
      <c r="F955" s="4" t="str">
        <f>IFERROR(VLOOKUP(E955, servicos!B:C, 2, 0),"")</f>
        <v/>
      </c>
      <c r="G955" s="4" t="str">
        <f>IFERROR(F955 * VLOOKUP(D955, profissionais!B:D, 3, 0),"")</f>
        <v/>
      </c>
    </row>
    <row r="956">
      <c r="D956" s="4"/>
      <c r="E956" s="4"/>
      <c r="F956" s="4" t="str">
        <f>IFERROR(VLOOKUP(E956, servicos!B:C, 2, 0),"")</f>
        <v/>
      </c>
      <c r="G956" s="4" t="str">
        <f>IFERROR(F956 * VLOOKUP(D956, profissionais!B:D, 3, 0),"")</f>
        <v/>
      </c>
    </row>
    <row r="957">
      <c r="D957" s="4"/>
      <c r="E957" s="4"/>
      <c r="F957" s="4" t="str">
        <f>IFERROR(VLOOKUP(E957, servicos!B:C, 2, 0),"")</f>
        <v/>
      </c>
      <c r="G957" s="4" t="str">
        <f>IFERROR(F957 * VLOOKUP(D957, profissionais!B:D, 3, 0),"")</f>
        <v/>
      </c>
    </row>
    <row r="958">
      <c r="D958" s="4"/>
      <c r="E958" s="4"/>
      <c r="F958" s="4" t="str">
        <f>IFERROR(VLOOKUP(E958, servicos!B:C, 2, 0),"")</f>
        <v/>
      </c>
      <c r="G958" s="4" t="str">
        <f>IFERROR(F958 * VLOOKUP(D958, profissionais!B:D, 3, 0),"")</f>
        <v/>
      </c>
    </row>
    <row r="959">
      <c r="D959" s="4"/>
      <c r="E959" s="4"/>
      <c r="F959" s="4" t="str">
        <f>IFERROR(VLOOKUP(E959, servicos!B:C, 2, 0),"")</f>
        <v/>
      </c>
      <c r="G959" s="4" t="str">
        <f>IFERROR(F959 * VLOOKUP(D959, profissionais!B:D, 3, 0),"")</f>
        <v/>
      </c>
    </row>
    <row r="960">
      <c r="D960" s="4"/>
      <c r="E960" s="4"/>
      <c r="F960" s="4" t="str">
        <f>IFERROR(VLOOKUP(E960, servicos!B:C, 2, 0),"")</f>
        <v/>
      </c>
      <c r="G960" s="4" t="str">
        <f>IFERROR(F960 * VLOOKUP(D960, profissionais!B:D, 3, 0),"")</f>
        <v/>
      </c>
    </row>
    <row r="961">
      <c r="D961" s="4"/>
      <c r="E961" s="4"/>
      <c r="F961" s="4" t="str">
        <f>IFERROR(VLOOKUP(E961, servicos!B:C, 2, 0),"")</f>
        <v/>
      </c>
      <c r="G961" s="4" t="str">
        <f>IFERROR(F961 * VLOOKUP(D961, profissionais!B:D, 3, 0),"")</f>
        <v/>
      </c>
    </row>
    <row r="962">
      <c r="D962" s="4"/>
      <c r="E962" s="4"/>
      <c r="F962" s="4" t="str">
        <f>IFERROR(VLOOKUP(E962, servicos!B:C, 2, 0),"")</f>
        <v/>
      </c>
      <c r="G962" s="4" t="str">
        <f>IFERROR(F962 * VLOOKUP(D962, profissionais!B:D, 3, 0),"")</f>
        <v/>
      </c>
    </row>
    <row r="963">
      <c r="D963" s="4"/>
      <c r="E963" s="4"/>
      <c r="F963" s="4" t="str">
        <f>IFERROR(VLOOKUP(E963, servicos!B:C, 2, 0),"")</f>
        <v/>
      </c>
      <c r="G963" s="4" t="str">
        <f>IFERROR(F963 * VLOOKUP(D963, profissionais!B:D, 3, 0),"")</f>
        <v/>
      </c>
    </row>
    <row r="964">
      <c r="D964" s="4"/>
      <c r="E964" s="4"/>
      <c r="F964" s="4" t="str">
        <f>IFERROR(VLOOKUP(E964, servicos!B:C, 2, 0),"")</f>
        <v/>
      </c>
      <c r="G964" s="4" t="str">
        <f>IFERROR(F964 * VLOOKUP(D964, profissionais!B:D, 3, 0),"")</f>
        <v/>
      </c>
    </row>
    <row r="965">
      <c r="D965" s="4"/>
      <c r="E965" s="4"/>
      <c r="F965" s="4" t="str">
        <f>IFERROR(VLOOKUP(E965, servicos!B:C, 2, 0),"")</f>
        <v/>
      </c>
      <c r="G965" s="4" t="str">
        <f>IFERROR(F965 * VLOOKUP(D965, profissionais!B:D, 3, 0),"")</f>
        <v/>
      </c>
    </row>
    <row r="966">
      <c r="D966" s="4"/>
      <c r="E966" s="4"/>
      <c r="F966" s="4" t="str">
        <f>IFERROR(VLOOKUP(E966, servicos!B:C, 2, 0),"")</f>
        <v/>
      </c>
      <c r="G966" s="4" t="str">
        <f>IFERROR(F966 * VLOOKUP(D966, profissionais!B:D, 3, 0),"")</f>
        <v/>
      </c>
    </row>
    <row r="967">
      <c r="D967" s="4"/>
      <c r="E967" s="4"/>
      <c r="F967" s="4" t="str">
        <f>IFERROR(VLOOKUP(E967, servicos!B:C, 2, 0),"")</f>
        <v/>
      </c>
      <c r="G967" s="4" t="str">
        <f>IFERROR(F967 * VLOOKUP(D967, profissionais!B:D, 3, 0),"")</f>
        <v/>
      </c>
    </row>
    <row r="968">
      <c r="D968" s="4"/>
      <c r="E968" s="4"/>
      <c r="F968" s="4" t="str">
        <f>IFERROR(VLOOKUP(E968, servicos!B:C, 2, 0),"")</f>
        <v/>
      </c>
      <c r="G968" s="4" t="str">
        <f>IFERROR(F968 * VLOOKUP(D968, profissionais!B:D, 3, 0),"")</f>
        <v/>
      </c>
    </row>
    <row r="969">
      <c r="D969" s="4"/>
      <c r="E969" s="4"/>
      <c r="F969" s="4" t="str">
        <f>IFERROR(VLOOKUP(E969, servicos!B:C, 2, 0),"")</f>
        <v/>
      </c>
      <c r="G969" s="4" t="str">
        <f>IFERROR(F969 * VLOOKUP(D969, profissionais!B:D, 3, 0),"")</f>
        <v/>
      </c>
    </row>
    <row r="970">
      <c r="D970" s="4"/>
      <c r="E970" s="4"/>
      <c r="F970" s="4" t="str">
        <f>IFERROR(VLOOKUP(E970, servicos!B:C, 2, 0),"")</f>
        <v/>
      </c>
      <c r="G970" s="4" t="str">
        <f>IFERROR(F970 * VLOOKUP(D970, profissionais!B:D, 3, 0),"")</f>
        <v/>
      </c>
    </row>
    <row r="971">
      <c r="D971" s="4"/>
      <c r="E971" s="4"/>
      <c r="F971" s="4" t="str">
        <f>IFERROR(VLOOKUP(E971, servicos!B:C, 2, 0),"")</f>
        <v/>
      </c>
      <c r="G971" s="4" t="str">
        <f>IFERROR(F971 * VLOOKUP(D971, profissionais!B:D, 3, 0),"")</f>
        <v/>
      </c>
    </row>
    <row r="972">
      <c r="D972" s="4"/>
      <c r="E972" s="4"/>
      <c r="F972" s="4" t="str">
        <f>IFERROR(VLOOKUP(E972, servicos!B:C, 2, 0),"")</f>
        <v/>
      </c>
      <c r="G972" s="4" t="str">
        <f>IFERROR(F972 * VLOOKUP(D972, profissionais!B:D, 3, 0),"")</f>
        <v/>
      </c>
    </row>
    <row r="973">
      <c r="D973" s="4"/>
      <c r="E973" s="4"/>
      <c r="F973" s="4" t="str">
        <f>IFERROR(VLOOKUP(E973, servicos!B:C, 2, 0),"")</f>
        <v/>
      </c>
      <c r="G973" s="4" t="str">
        <f>IFERROR(F973 * VLOOKUP(D973, profissionais!B:D, 3, 0),"")</f>
        <v/>
      </c>
    </row>
    <row r="974">
      <c r="D974" s="4"/>
      <c r="E974" s="4"/>
      <c r="F974" s="4" t="str">
        <f>IFERROR(VLOOKUP(E974, servicos!B:C, 2, 0),"")</f>
        <v/>
      </c>
      <c r="G974" s="4" t="str">
        <f>IFERROR(F974 * VLOOKUP(D974, profissionais!B:D, 3, 0),"")</f>
        <v/>
      </c>
    </row>
    <row r="975">
      <c r="D975" s="4"/>
      <c r="E975" s="4"/>
      <c r="F975" s="4" t="str">
        <f>IFERROR(VLOOKUP(E975, servicos!B:C, 2, 0),"")</f>
        <v/>
      </c>
      <c r="G975" s="4" t="str">
        <f>IFERROR(F975 * VLOOKUP(D975, profissionais!B:D, 3, 0),"")</f>
        <v/>
      </c>
    </row>
    <row r="976">
      <c r="D976" s="4"/>
      <c r="E976" s="4"/>
      <c r="F976" s="4" t="str">
        <f>IFERROR(VLOOKUP(E976, servicos!B:C, 2, 0),"")</f>
        <v/>
      </c>
      <c r="G976" s="4" t="str">
        <f>IFERROR(F976 * VLOOKUP(D976, profissionais!B:D, 3, 0),"")</f>
        <v/>
      </c>
    </row>
    <row r="977">
      <c r="D977" s="4"/>
      <c r="E977" s="4"/>
      <c r="F977" s="4" t="str">
        <f>IFERROR(VLOOKUP(E977, servicos!B:C, 2, 0),"")</f>
        <v/>
      </c>
      <c r="G977" s="4" t="str">
        <f>IFERROR(F977 * VLOOKUP(D977, profissionais!B:D, 3, 0),"")</f>
        <v/>
      </c>
    </row>
    <row r="978">
      <c r="D978" s="4"/>
      <c r="E978" s="4"/>
      <c r="F978" s="4" t="str">
        <f>IFERROR(VLOOKUP(E978, servicos!B:C, 2, 0),"")</f>
        <v/>
      </c>
      <c r="G978" s="4" t="str">
        <f>IFERROR(F978 * VLOOKUP(D978, profissionais!B:D, 3, 0),"")</f>
        <v/>
      </c>
    </row>
    <row r="979">
      <c r="D979" s="4"/>
      <c r="E979" s="4"/>
      <c r="F979" s="4" t="str">
        <f>IFERROR(VLOOKUP(E979, servicos!B:C, 2, 0),"")</f>
        <v/>
      </c>
      <c r="G979" s="4" t="str">
        <f>IFERROR(F979 * VLOOKUP(D979, profissionais!B:D, 3, 0),"")</f>
        <v/>
      </c>
    </row>
    <row r="980">
      <c r="D980" s="4"/>
      <c r="E980" s="4"/>
      <c r="F980" s="4" t="str">
        <f>IFERROR(VLOOKUP(E980, servicos!B:C, 2, 0),"")</f>
        <v/>
      </c>
      <c r="G980" s="4" t="str">
        <f>IFERROR(F980 * VLOOKUP(D980, profissionais!B:D, 3, 0),"")</f>
        <v/>
      </c>
    </row>
    <row r="981">
      <c r="D981" s="4"/>
      <c r="E981" s="4"/>
      <c r="F981" s="4" t="str">
        <f>IFERROR(VLOOKUP(E981, servicos!B:C, 2, 0),"")</f>
        <v/>
      </c>
      <c r="G981" s="4" t="str">
        <f>IFERROR(F981 * VLOOKUP(D981, profissionais!B:D, 3, 0),"")</f>
        <v/>
      </c>
    </row>
    <row r="982">
      <c r="D982" s="4"/>
      <c r="E982" s="4"/>
      <c r="F982" s="4" t="str">
        <f>IFERROR(VLOOKUP(E982, servicos!B:C, 2, 0),"")</f>
        <v/>
      </c>
      <c r="G982" s="4" t="str">
        <f>IFERROR(F982 * VLOOKUP(D982, profissionais!B:D, 3, 0),"")</f>
        <v/>
      </c>
    </row>
    <row r="983">
      <c r="D983" s="4"/>
      <c r="E983" s="4"/>
      <c r="F983" s="4" t="str">
        <f>IFERROR(VLOOKUP(E983, servicos!B:C, 2, 0),"")</f>
        <v/>
      </c>
      <c r="G983" s="4" t="str">
        <f>IFERROR(F983 * VLOOKUP(D983, profissionais!B:D, 3, 0),"")</f>
        <v/>
      </c>
    </row>
    <row r="984">
      <c r="D984" s="4"/>
      <c r="E984" s="4"/>
      <c r="F984" s="4" t="str">
        <f>IFERROR(VLOOKUP(E984, servicos!B:C, 2, 0),"")</f>
        <v/>
      </c>
      <c r="G984" s="4" t="str">
        <f>IFERROR(F984 * VLOOKUP(D984, profissionais!B:D, 3, 0),"")</f>
        <v/>
      </c>
    </row>
    <row r="985">
      <c r="D985" s="4"/>
      <c r="E985" s="4"/>
      <c r="F985" s="4" t="str">
        <f>IFERROR(VLOOKUP(E985, servicos!B:C, 2, 0),"")</f>
        <v/>
      </c>
      <c r="G985" s="4" t="str">
        <f>IFERROR(F985 * VLOOKUP(D985, profissionais!B:D, 3, 0),"")</f>
        <v/>
      </c>
    </row>
    <row r="986">
      <c r="D986" s="4"/>
      <c r="E986" s="4"/>
      <c r="F986" s="4" t="str">
        <f>IFERROR(VLOOKUP(E986, servicos!B:C, 2, 0),"")</f>
        <v/>
      </c>
      <c r="G986" s="4" t="str">
        <f>IFERROR(F986 * VLOOKUP(D986, profissionais!B:D, 3, 0),"")</f>
        <v/>
      </c>
    </row>
    <row r="987">
      <c r="D987" s="4"/>
      <c r="E987" s="4"/>
      <c r="F987" s="4" t="str">
        <f>IFERROR(VLOOKUP(E987, servicos!B:C, 2, 0),"")</f>
        <v/>
      </c>
      <c r="G987" s="4" t="str">
        <f>IFERROR(F987 * VLOOKUP(D987, profissionais!B:D, 3, 0),"")</f>
        <v/>
      </c>
    </row>
    <row r="988">
      <c r="D988" s="4"/>
      <c r="E988" s="4"/>
      <c r="F988" s="4" t="str">
        <f>IFERROR(VLOOKUP(E988, servicos!B:C, 2, 0),"")</f>
        <v/>
      </c>
      <c r="G988" s="4" t="str">
        <f>IFERROR(F988 * VLOOKUP(D988, profissionais!B:D, 3, 0),"")</f>
        <v/>
      </c>
    </row>
    <row r="989">
      <c r="D989" s="4"/>
      <c r="E989" s="4"/>
      <c r="F989" s="4" t="str">
        <f>IFERROR(VLOOKUP(E989, servicos!B:C, 2, 0),"")</f>
        <v/>
      </c>
      <c r="G989" s="4" t="str">
        <f>IFERROR(F989 * VLOOKUP(D989, profissionais!B:D, 3, 0),"")</f>
        <v/>
      </c>
    </row>
    <row r="990">
      <c r="D990" s="4"/>
      <c r="E990" s="4"/>
      <c r="F990" s="4" t="str">
        <f>IFERROR(VLOOKUP(E990, servicos!B:C, 2, 0),"")</f>
        <v/>
      </c>
      <c r="G990" s="4" t="str">
        <f>IFERROR(F990 * VLOOKUP(D990, profissionais!B:D, 3, 0),"")</f>
        <v/>
      </c>
    </row>
    <row r="991">
      <c r="D991" s="4"/>
      <c r="E991" s="4"/>
      <c r="F991" s="4" t="str">
        <f>IFERROR(VLOOKUP(E991, servicos!B:C, 2, 0),"")</f>
        <v/>
      </c>
      <c r="G991" s="4" t="str">
        <f>IFERROR(F991 * VLOOKUP(D991, profissionais!B:D, 3, 0),"")</f>
        <v/>
      </c>
    </row>
    <row r="992">
      <c r="D992" s="4"/>
      <c r="E992" s="4"/>
      <c r="F992" s="4" t="str">
        <f>IFERROR(VLOOKUP(E992, servicos!B:C, 2, 0),"")</f>
        <v/>
      </c>
      <c r="G992" s="4" t="str">
        <f>IFERROR(F992 * VLOOKUP(D992, profissionais!B:D, 3, 0),"")</f>
        <v/>
      </c>
    </row>
    <row r="993">
      <c r="D993" s="4"/>
      <c r="E993" s="4"/>
      <c r="F993" s="4" t="str">
        <f>IFERROR(VLOOKUP(E993, servicos!B:C, 2, 0),"")</f>
        <v/>
      </c>
      <c r="G993" s="4" t="str">
        <f>IFERROR(F993 * VLOOKUP(D993, profissionais!B:D, 3, 0),"")</f>
        <v/>
      </c>
    </row>
    <row r="994">
      <c r="D994" s="4"/>
      <c r="E994" s="4"/>
      <c r="F994" s="4" t="str">
        <f>IFERROR(VLOOKUP(E994, servicos!B:C, 2, 0),"")</f>
        <v/>
      </c>
      <c r="G994" s="4" t="str">
        <f>IFERROR(F994 * VLOOKUP(D994, profissionais!B:D, 3, 0),"")</f>
        <v/>
      </c>
    </row>
    <row r="995">
      <c r="D995" s="4"/>
      <c r="E995" s="4"/>
      <c r="F995" s="4" t="str">
        <f>IFERROR(VLOOKUP(E995, servicos!B:C, 2, 0),"")</f>
        <v/>
      </c>
      <c r="G995" s="4" t="str">
        <f>IFERROR(F995 * VLOOKUP(D995, profissionais!B:D, 3, 0),"")</f>
        <v/>
      </c>
    </row>
    <row r="996">
      <c r="D996" s="4"/>
      <c r="E996" s="4"/>
      <c r="F996" s="4" t="str">
        <f>IFERROR(VLOOKUP(E996, servicos!B:C, 2, 0),"")</f>
        <v/>
      </c>
      <c r="G996" s="4" t="str">
        <f>IFERROR(F996 * VLOOKUP(D996, profissionais!B:D, 3, 0),"")</f>
        <v/>
      </c>
    </row>
    <row r="997">
      <c r="D997" s="4"/>
      <c r="E997" s="4"/>
      <c r="F997" s="4" t="str">
        <f>IFERROR(VLOOKUP(E997, servicos!B:C, 2, 0),"")</f>
        <v/>
      </c>
      <c r="G997" s="4" t="str">
        <f>IFERROR(F997 * VLOOKUP(D997, profissionais!B:D, 3, 0),"")</f>
        <v/>
      </c>
    </row>
    <row r="998">
      <c r="D998" s="4"/>
      <c r="E998" s="4"/>
      <c r="F998" s="4" t="str">
        <f>IFERROR(VLOOKUP(E998, servicos!B:C, 2, 0),"")</f>
        <v/>
      </c>
      <c r="G998" s="4" t="str">
        <f>IFERROR(F998 * VLOOKUP(D998, profissionais!B:D, 3, 0),"")</f>
        <v/>
      </c>
    </row>
    <row r="999">
      <c r="D999" s="4"/>
      <c r="E999" s="4"/>
      <c r="F999" s="4" t="str">
        <f>IFERROR(VLOOKUP(E999, servicos!B:C, 2, 0),"")</f>
        <v/>
      </c>
      <c r="G999" s="4" t="str">
        <f>IFERROR(F999 * VLOOKUP(D999, profissionais!B:D, 3, 0),"")</f>
        <v/>
      </c>
    </row>
    <row r="1000">
      <c r="D1000" s="4"/>
      <c r="E1000" s="4"/>
      <c r="F1000" s="4" t="str">
        <f>IFERROR(VLOOKUP(E1000, servicos!B:C, 2, 0),"")</f>
        <v/>
      </c>
      <c r="G1000" s="4" t="str">
        <f>IFERROR(F1000 * VLOOKUP(D1000, profissionais!B:D, 3, 0),"")</f>
        <v/>
      </c>
    </row>
  </sheetData>
  <dataValidations>
    <dataValidation type="list" allowBlank="1" showErrorMessage="1" sqref="E2:E1000">
      <formula1>"Box Braids,Corte,Design de Sobrancelha,Dreads,Faux Locs,Henna,Pé e Mão,Penteado Artistico,Relaxamento,Trança Nagô,Tratamento Luxo,Tratamento Simples,Unhas Acrigel"</formula1>
    </dataValidation>
    <dataValidation type="list" allowBlank="1" showErrorMessage="1" sqref="D2:D1000">
      <formula1>"Ana Amorim,ID_Profissional,Jhennifer Novaes,Mara Cristina,Neide Castro,Perla Moura,Rita Neves,Zete Souza"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2.38"/>
    <col customWidth="1" min="4" max="4" width="16.13"/>
    <col customWidth="1" min="5" max="5" width="13.38"/>
    <col customWidth="1" min="6" max="6" width="13.88"/>
  </cols>
  <sheetData>
    <row r="1">
      <c r="A1" s="2" t="s">
        <v>0</v>
      </c>
      <c r="B1" s="2" t="s">
        <v>3</v>
      </c>
      <c r="C1" s="2" t="s">
        <v>70</v>
      </c>
      <c r="D1" s="2" t="s">
        <v>71</v>
      </c>
      <c r="E1" s="2" t="s">
        <v>72</v>
      </c>
      <c r="F1" s="2" t="s">
        <v>73</v>
      </c>
    </row>
    <row r="2">
      <c r="B2" s="5" t="s">
        <v>39</v>
      </c>
      <c r="C2" s="2" t="s">
        <v>74</v>
      </c>
      <c r="D2" s="2">
        <v>0.4</v>
      </c>
      <c r="E2" s="4">
        <f>SUMIF(atendimentos!D:D, B2, atendimentos!F:F)</f>
        <v>740</v>
      </c>
      <c r="F2" s="4">
        <f t="shared" ref="F2:F8" si="1">E2 * D2</f>
        <v>296</v>
      </c>
    </row>
    <row r="3">
      <c r="B3" s="5" t="s">
        <v>14</v>
      </c>
      <c r="C3" s="2" t="s">
        <v>75</v>
      </c>
      <c r="D3" s="2">
        <v>0.4</v>
      </c>
      <c r="E3" s="4">
        <f>SUMIF(atendimentos!D:D, B3, atendimentos!F:F)</f>
        <v>1910</v>
      </c>
      <c r="F3" s="4">
        <f t="shared" si="1"/>
        <v>764</v>
      </c>
    </row>
    <row r="4">
      <c r="B4" s="5" t="s">
        <v>36</v>
      </c>
      <c r="C4" s="2" t="s">
        <v>76</v>
      </c>
      <c r="D4" s="2">
        <v>0.4</v>
      </c>
      <c r="E4" s="4">
        <f>SUMIF(atendimentos!D:D, B4, atendimentos!F:F)</f>
        <v>610</v>
      </c>
      <c r="F4" s="4">
        <f t="shared" si="1"/>
        <v>244</v>
      </c>
    </row>
    <row r="5">
      <c r="B5" s="5" t="s">
        <v>20</v>
      </c>
      <c r="C5" s="2" t="s">
        <v>75</v>
      </c>
      <c r="D5" s="2">
        <v>0.4</v>
      </c>
      <c r="E5" s="4">
        <f>SUMIF(atendimentos!D:D, B5, atendimentos!F:F)</f>
        <v>580</v>
      </c>
      <c r="F5" s="4">
        <f t="shared" si="1"/>
        <v>232</v>
      </c>
    </row>
    <row r="6">
      <c r="B6" s="5" t="s">
        <v>27</v>
      </c>
      <c r="C6" s="2" t="s">
        <v>77</v>
      </c>
      <c r="D6" s="2">
        <v>0.4</v>
      </c>
      <c r="E6" s="4">
        <f>SUMIF(atendimentos!D:D, B6, atendimentos!F:F)</f>
        <v>300</v>
      </c>
      <c r="F6" s="4">
        <f t="shared" si="1"/>
        <v>120</v>
      </c>
    </row>
    <row r="7">
      <c r="B7" s="5" t="s">
        <v>8</v>
      </c>
      <c r="C7" s="2" t="s">
        <v>78</v>
      </c>
      <c r="D7" s="2">
        <v>0.4</v>
      </c>
      <c r="E7" s="4">
        <f>SUMIF(atendimentos!D:D, B7, atendimentos!F:F)</f>
        <v>450</v>
      </c>
      <c r="F7" s="4">
        <f t="shared" si="1"/>
        <v>180</v>
      </c>
    </row>
    <row r="8">
      <c r="B8" s="2" t="s">
        <v>11</v>
      </c>
      <c r="C8" s="2" t="s">
        <v>79</v>
      </c>
      <c r="D8" s="2">
        <v>0.4</v>
      </c>
      <c r="E8" s="4">
        <f>SUMIF(atendimentos!D:D, B8, atendimentos!F:F)</f>
        <v>1540</v>
      </c>
      <c r="F8" s="4">
        <f t="shared" si="1"/>
        <v>616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8.38"/>
    <col customWidth="1" min="3" max="3" width="6.88"/>
    <col customWidth="1" min="4" max="4" width="12.88"/>
  </cols>
  <sheetData>
    <row r="1">
      <c r="A1" s="2" t="s">
        <v>0</v>
      </c>
      <c r="B1" s="2" t="s">
        <v>4</v>
      </c>
      <c r="C1" s="2" t="s">
        <v>80</v>
      </c>
      <c r="D1" s="2" t="s">
        <v>81</v>
      </c>
    </row>
    <row r="2">
      <c r="A2" s="2">
        <v>1.0</v>
      </c>
      <c r="B2" s="2" t="s">
        <v>25</v>
      </c>
      <c r="C2" s="2">
        <v>60.0</v>
      </c>
      <c r="D2" s="2">
        <v>100.0</v>
      </c>
    </row>
    <row r="3">
      <c r="A3" s="2">
        <v>2.0</v>
      </c>
      <c r="B3" s="2" t="s">
        <v>12</v>
      </c>
      <c r="C3" s="2">
        <v>280.0</v>
      </c>
      <c r="D3" s="2">
        <v>200.0</v>
      </c>
    </row>
    <row r="4">
      <c r="A4" s="2">
        <v>3.0</v>
      </c>
      <c r="B4" s="2" t="s">
        <v>15</v>
      </c>
      <c r="C4" s="2">
        <v>450.0</v>
      </c>
      <c r="D4" s="2">
        <v>500.0</v>
      </c>
    </row>
    <row r="5">
      <c r="A5" s="2">
        <v>4.0</v>
      </c>
      <c r="B5" s="2" t="s">
        <v>21</v>
      </c>
      <c r="C5" s="2">
        <v>580.0</v>
      </c>
      <c r="D5" s="2">
        <v>500.0</v>
      </c>
    </row>
    <row r="6">
      <c r="A6" s="2">
        <v>5.0</v>
      </c>
      <c r="B6" s="2" t="s">
        <v>31</v>
      </c>
      <c r="C6" s="2">
        <v>280.0</v>
      </c>
      <c r="D6" s="2">
        <v>100.0</v>
      </c>
    </row>
    <row r="7">
      <c r="A7" s="2">
        <v>6.0</v>
      </c>
      <c r="B7" s="2" t="s">
        <v>37</v>
      </c>
      <c r="C7" s="2">
        <v>150.0</v>
      </c>
      <c r="D7" s="2">
        <v>100.0</v>
      </c>
    </row>
    <row r="8">
      <c r="A8" s="2">
        <v>7.0</v>
      </c>
      <c r="B8" s="2" t="s">
        <v>41</v>
      </c>
      <c r="C8" s="2">
        <v>150.0</v>
      </c>
      <c r="D8" s="2">
        <v>100.0</v>
      </c>
    </row>
    <row r="9">
      <c r="A9" s="2">
        <v>8.0</v>
      </c>
      <c r="B9" s="2" t="s">
        <v>50</v>
      </c>
      <c r="C9" s="2">
        <v>80.0</v>
      </c>
      <c r="D9" s="2">
        <v>30.0</v>
      </c>
    </row>
    <row r="10">
      <c r="A10" s="2">
        <v>9.0</v>
      </c>
      <c r="B10" s="2" t="s">
        <v>82</v>
      </c>
      <c r="C10" s="2">
        <v>580.0</v>
      </c>
      <c r="D10" s="2">
        <v>500.0</v>
      </c>
    </row>
    <row r="11">
      <c r="A11" s="2">
        <v>10.0</v>
      </c>
      <c r="B11" s="2" t="s">
        <v>28</v>
      </c>
      <c r="C11" s="2">
        <v>150.0</v>
      </c>
      <c r="D11" s="2">
        <v>200.0</v>
      </c>
    </row>
    <row r="12">
      <c r="A12" s="2">
        <v>11.0</v>
      </c>
      <c r="B12" s="2" t="s">
        <v>9</v>
      </c>
      <c r="C12" s="2">
        <v>100.0</v>
      </c>
      <c r="D12" s="2">
        <v>30.0</v>
      </c>
    </row>
    <row r="13">
      <c r="A13" s="2">
        <v>12.0</v>
      </c>
      <c r="B13" s="2" t="s">
        <v>17</v>
      </c>
      <c r="C13" s="2">
        <v>45.0</v>
      </c>
      <c r="D13" s="2">
        <v>30.0</v>
      </c>
    </row>
    <row r="14">
      <c r="A14" s="2">
        <v>13.0</v>
      </c>
      <c r="B14" s="2" t="s">
        <v>23</v>
      </c>
      <c r="C14" s="2">
        <v>350.0</v>
      </c>
      <c r="D14" s="2">
        <v>200.0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0.0"/>
    <col customWidth="1" min="3" max="3" width="16.0"/>
    <col customWidth="1" min="4" max="4" width="15.88"/>
    <col customWidth="1" min="5" max="5" width="15.75"/>
    <col customWidth="1" min="7" max="7" width="14.88"/>
  </cols>
  <sheetData>
    <row r="1">
      <c r="A1" s="2" t="s">
        <v>0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</row>
    <row r="2">
      <c r="A2" s="2">
        <v>1.0</v>
      </c>
      <c r="B2" s="2" t="s">
        <v>89</v>
      </c>
      <c r="C2" s="2">
        <v>40.0</v>
      </c>
      <c r="D2" s="2">
        <v>150.0</v>
      </c>
      <c r="E2" s="2">
        <v>10.0</v>
      </c>
      <c r="F2" s="4">
        <f>SUMIF(vendas!B:B, B2, vendas!C:C)</f>
        <v>2</v>
      </c>
      <c r="G2" s="4">
        <f t="shared" ref="G2:G10" si="1">E2 - F2</f>
        <v>8</v>
      </c>
    </row>
    <row r="3">
      <c r="A3" s="2">
        <v>2.0</v>
      </c>
      <c r="B3" s="2" t="s">
        <v>90</v>
      </c>
      <c r="C3" s="2">
        <v>8.0</v>
      </c>
      <c r="D3" s="2">
        <v>20.0</v>
      </c>
      <c r="E3" s="2">
        <v>10.0</v>
      </c>
      <c r="F3" s="4">
        <f>SUMIF(vendas!B:B, B3, vendas!C:C)</f>
        <v>4</v>
      </c>
      <c r="G3" s="4">
        <f t="shared" si="1"/>
        <v>6</v>
      </c>
    </row>
    <row r="4">
      <c r="A4" s="2">
        <v>3.0</v>
      </c>
      <c r="B4" s="2" t="s">
        <v>91</v>
      </c>
      <c r="C4" s="2">
        <v>3.5</v>
      </c>
      <c r="D4" s="2">
        <v>25.0</v>
      </c>
      <c r="E4" s="2">
        <v>10.0</v>
      </c>
      <c r="F4" s="4">
        <f>SUMIF(vendas!B:B, B4, vendas!C:C)</f>
        <v>2</v>
      </c>
      <c r="G4" s="4">
        <f t="shared" si="1"/>
        <v>8</v>
      </c>
    </row>
    <row r="5">
      <c r="A5" s="2">
        <v>4.0</v>
      </c>
      <c r="B5" s="2" t="s">
        <v>92</v>
      </c>
      <c r="C5" s="2">
        <v>4.5</v>
      </c>
      <c r="D5" s="2">
        <v>35.0</v>
      </c>
      <c r="E5" s="2">
        <v>10.0</v>
      </c>
      <c r="F5" s="4">
        <f>SUMIF(vendas!B:B, B5, vendas!C:C)</f>
        <v>1</v>
      </c>
      <c r="G5" s="4">
        <f t="shared" si="1"/>
        <v>9</v>
      </c>
    </row>
    <row r="6">
      <c r="A6" s="2">
        <v>5.0</v>
      </c>
      <c r="B6" s="2" t="s">
        <v>93</v>
      </c>
      <c r="C6" s="2">
        <v>12.0</v>
      </c>
      <c r="D6" s="2">
        <v>30.0</v>
      </c>
      <c r="E6" s="2">
        <v>10.0</v>
      </c>
      <c r="F6" s="4">
        <f>SUMIF(vendas!B:B, B6, vendas!C:C)</f>
        <v>2</v>
      </c>
      <c r="G6" s="4">
        <f t="shared" si="1"/>
        <v>8</v>
      </c>
    </row>
    <row r="7">
      <c r="A7" s="2">
        <v>6.0</v>
      </c>
      <c r="B7" s="2" t="s">
        <v>94</v>
      </c>
      <c r="C7" s="2">
        <v>25.0</v>
      </c>
      <c r="D7" s="2">
        <v>90.0</v>
      </c>
      <c r="E7" s="2">
        <v>10.0</v>
      </c>
      <c r="F7" s="4">
        <f>SUMIF(vendas!B:B, B7, vendas!C:C)</f>
        <v>0</v>
      </c>
      <c r="G7" s="4">
        <f t="shared" si="1"/>
        <v>10</v>
      </c>
    </row>
    <row r="8">
      <c r="A8" s="2">
        <v>7.0</v>
      </c>
      <c r="B8" s="2" t="s">
        <v>95</v>
      </c>
      <c r="C8" s="2">
        <v>25.0</v>
      </c>
      <c r="D8" s="2">
        <v>80.0</v>
      </c>
      <c r="E8" s="2">
        <v>10.0</v>
      </c>
      <c r="F8" s="4">
        <f>SUMIF(vendas!B:B, B8, vendas!C:C)</f>
        <v>2</v>
      </c>
      <c r="G8" s="4">
        <f t="shared" si="1"/>
        <v>8</v>
      </c>
    </row>
    <row r="9">
      <c r="A9" s="2">
        <v>8.0</v>
      </c>
      <c r="B9" s="2" t="s">
        <v>96</v>
      </c>
      <c r="C9" s="2">
        <v>5.0</v>
      </c>
      <c r="D9" s="2">
        <v>25.0</v>
      </c>
      <c r="E9" s="2">
        <v>10.0</v>
      </c>
      <c r="F9" s="4">
        <f>SUMIF(vendas!B:B, B9, vendas!C:C)</f>
        <v>1</v>
      </c>
      <c r="G9" s="4">
        <f t="shared" si="1"/>
        <v>9</v>
      </c>
    </row>
    <row r="10">
      <c r="A10" s="2">
        <v>9.0</v>
      </c>
      <c r="B10" s="2" t="s">
        <v>97</v>
      </c>
      <c r="C10" s="2">
        <v>7.5</v>
      </c>
      <c r="D10" s="2">
        <v>35.0</v>
      </c>
      <c r="E10" s="2">
        <v>10.0</v>
      </c>
      <c r="F10" s="4">
        <f>SUMIF(vendas!B:B, B10, vendas!C:C)</f>
        <v>1</v>
      </c>
      <c r="G10" s="4">
        <f t="shared" si="1"/>
        <v>9</v>
      </c>
    </row>
    <row r="11">
      <c r="A11" s="2"/>
    </row>
    <row r="12">
      <c r="A12" s="2"/>
    </row>
    <row r="13">
      <c r="A13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8.13"/>
    <col customWidth="1" min="3" max="3" width="5.0"/>
    <col customWidth="1" min="4" max="4" width="6.25"/>
  </cols>
  <sheetData>
    <row r="1">
      <c r="A1" s="2" t="s">
        <v>0</v>
      </c>
      <c r="B1" s="2" t="s">
        <v>83</v>
      </c>
      <c r="C1" s="2" t="s">
        <v>98</v>
      </c>
      <c r="D1" s="2" t="s">
        <v>99</v>
      </c>
    </row>
    <row r="2">
      <c r="B2" s="2" t="s">
        <v>89</v>
      </c>
      <c r="C2" s="2">
        <v>1.0</v>
      </c>
      <c r="D2" s="4">
        <f>IFERROR(VLOOKUP(B2, estoque!B:D, 3, 0) * C2, "")</f>
        <v>150</v>
      </c>
    </row>
    <row r="3">
      <c r="B3" s="2" t="s">
        <v>90</v>
      </c>
      <c r="C3" s="2">
        <v>2.0</v>
      </c>
      <c r="D3" s="4">
        <f>IFERROR(VLOOKUP(B3, estoque!B:D, 3, 0) * C3, "")</f>
        <v>40</v>
      </c>
    </row>
    <row r="4">
      <c r="B4" s="2" t="s">
        <v>96</v>
      </c>
      <c r="C4" s="2">
        <v>1.0</v>
      </c>
      <c r="D4" s="4">
        <f>IFERROR(VLOOKUP(B4, estoque!B:D, 3, 0) * C4, "")</f>
        <v>25</v>
      </c>
    </row>
    <row r="5">
      <c r="B5" s="2" t="s">
        <v>93</v>
      </c>
      <c r="C5" s="2">
        <v>1.0</v>
      </c>
      <c r="D5" s="4">
        <f>IFERROR(VLOOKUP(B5, estoque!B:D, 3, 0) * C5, "")</f>
        <v>30</v>
      </c>
    </row>
    <row r="6">
      <c r="B6" s="2" t="s">
        <v>92</v>
      </c>
      <c r="C6" s="2">
        <v>1.0</v>
      </c>
      <c r="D6" s="4">
        <f>IFERROR(VLOOKUP(B6, estoque!B:D, 3, 0) * C6, "")</f>
        <v>35</v>
      </c>
    </row>
    <row r="7">
      <c r="B7" s="2" t="s">
        <v>91</v>
      </c>
      <c r="C7" s="2">
        <v>2.0</v>
      </c>
      <c r="D7" s="4">
        <f>IFERROR(VLOOKUP(B7, estoque!B:D, 3, 0) * C7, "")</f>
        <v>50</v>
      </c>
    </row>
    <row r="8">
      <c r="B8" s="2" t="s">
        <v>95</v>
      </c>
      <c r="C8" s="2">
        <v>1.0</v>
      </c>
      <c r="D8" s="4">
        <f>IFERROR(VLOOKUP(B8, estoque!B:D, 3, 0) * C8, "")</f>
        <v>80</v>
      </c>
    </row>
    <row r="9">
      <c r="B9" s="2" t="s">
        <v>93</v>
      </c>
      <c r="C9" s="2">
        <v>1.0</v>
      </c>
      <c r="D9" s="4">
        <f>IFERROR(VLOOKUP(B9, estoque!B:D, 3, 0) * C9, "")</f>
        <v>30</v>
      </c>
    </row>
    <row r="10">
      <c r="B10" s="2" t="s">
        <v>89</v>
      </c>
      <c r="C10" s="2">
        <v>1.0</v>
      </c>
      <c r="D10" s="4">
        <f>IFERROR(VLOOKUP(B10, estoque!B:D, 3, 0) * C10, "")</f>
        <v>150</v>
      </c>
    </row>
    <row r="11">
      <c r="B11" s="2" t="s">
        <v>90</v>
      </c>
      <c r="C11" s="2">
        <v>2.0</v>
      </c>
      <c r="D11" s="4">
        <f>IFERROR(VLOOKUP(B11, estoque!B:D, 3, 0) * C11, "")</f>
        <v>40</v>
      </c>
    </row>
    <row r="12">
      <c r="B12" s="2" t="s">
        <v>97</v>
      </c>
      <c r="C12" s="2">
        <v>1.0</v>
      </c>
      <c r="D12" s="4">
        <f>IFERROR(VLOOKUP(B12, estoque!B:D, 3, 0) * C12, "")</f>
        <v>35</v>
      </c>
    </row>
    <row r="13">
      <c r="B13" s="2" t="s">
        <v>95</v>
      </c>
      <c r="C13" s="2">
        <v>1.0</v>
      </c>
      <c r="D13" s="4">
        <f>IFERROR(VLOOKUP(B13, estoque!B:D, 3, 0) * C13, "")</f>
        <v>80</v>
      </c>
    </row>
    <row r="14">
      <c r="B14" s="4"/>
      <c r="D14" s="4" t="str">
        <f>IFERROR(VLOOKUP(B14, estoque!B:D, 3, 0) * C14, "")</f>
        <v/>
      </c>
    </row>
    <row r="15">
      <c r="B15" s="4"/>
      <c r="D15" s="4" t="str">
        <f>IFERROR(VLOOKUP(B15, estoque!B:D, 3, 0) * C15, "")</f>
        <v/>
      </c>
    </row>
    <row r="16">
      <c r="B16" s="4"/>
      <c r="D16" s="4" t="str">
        <f>IFERROR(VLOOKUP(B16, estoque!B:D, 3, 0) * C16, "")</f>
        <v/>
      </c>
    </row>
    <row r="17">
      <c r="B17" s="4"/>
      <c r="D17" s="4" t="str">
        <f>IFERROR(VLOOKUP(B17, estoque!B:D, 3, 0) * C17, "")</f>
        <v/>
      </c>
    </row>
    <row r="18">
      <c r="B18" s="4"/>
      <c r="D18" s="4" t="str">
        <f>IFERROR(VLOOKUP(B18, estoque!B:D, 3, 0) * C18, "")</f>
        <v/>
      </c>
    </row>
    <row r="19">
      <c r="B19" s="4"/>
      <c r="D19" s="4" t="str">
        <f>IFERROR(VLOOKUP(B19, estoque!B:D, 3, 0) * C19, "")</f>
        <v/>
      </c>
    </row>
    <row r="20">
      <c r="B20" s="4"/>
      <c r="D20" s="4" t="str">
        <f>IFERROR(VLOOKUP(B20, estoque!B:D, 3, 0) * C20, "")</f>
        <v/>
      </c>
    </row>
    <row r="21">
      <c r="B21" s="4"/>
      <c r="D21" s="4" t="str">
        <f>IFERROR(VLOOKUP(B21, estoque!B:D, 3, 0) * C21, "")</f>
        <v/>
      </c>
    </row>
    <row r="22">
      <c r="B22" s="4"/>
      <c r="D22" s="4" t="str">
        <f>IFERROR(VLOOKUP(B22, estoque!B:D, 3, 0) * C22, "")</f>
        <v/>
      </c>
    </row>
    <row r="23">
      <c r="B23" s="4"/>
      <c r="D23" s="4" t="str">
        <f>IFERROR(VLOOKUP(B23, estoque!B:D, 3, 0) * C23, "")</f>
        <v/>
      </c>
    </row>
    <row r="24">
      <c r="B24" s="4"/>
      <c r="D24" s="4" t="str">
        <f>IFERROR(VLOOKUP(B24, estoque!B:D, 3, 0) * C24, "")</f>
        <v/>
      </c>
    </row>
    <row r="25">
      <c r="B25" s="4"/>
      <c r="D25" s="4" t="str">
        <f>IFERROR(VLOOKUP(B25, estoque!B:D, 3, 0) * C25, "")</f>
        <v/>
      </c>
    </row>
    <row r="26">
      <c r="B26" s="4"/>
      <c r="D26" s="4" t="str">
        <f>IFERROR(VLOOKUP(B26, estoque!B:D, 3, 0) * C26, "")</f>
        <v/>
      </c>
    </row>
    <row r="27">
      <c r="B27" s="4"/>
      <c r="D27" s="4" t="str">
        <f>IFERROR(VLOOKUP(B27, estoque!B:D, 3, 0) * C27, "")</f>
        <v/>
      </c>
    </row>
    <row r="28">
      <c r="B28" s="4"/>
      <c r="D28" s="4" t="str">
        <f>IFERROR(VLOOKUP(B28, estoque!B:D, 3, 0) * C28, "")</f>
        <v/>
      </c>
    </row>
    <row r="29">
      <c r="B29" s="4"/>
      <c r="D29" s="4" t="str">
        <f>IFERROR(VLOOKUP(B29, estoque!B:D, 3, 0) * C29, "")</f>
        <v/>
      </c>
    </row>
    <row r="30">
      <c r="B30" s="4"/>
      <c r="D30" s="4" t="str">
        <f>IFERROR(VLOOKUP(B30, estoque!B:D, 3, 0) * C30, "")</f>
        <v/>
      </c>
    </row>
    <row r="31">
      <c r="B31" s="4"/>
      <c r="D31" s="4" t="str">
        <f>IFERROR(VLOOKUP(B31, estoque!B:D, 3, 0) * C31, "")</f>
        <v/>
      </c>
    </row>
    <row r="32">
      <c r="B32" s="4"/>
      <c r="D32" s="4" t="str">
        <f>IFERROR(VLOOKUP(B32, estoque!B:D, 3, 0) * C32, "")</f>
        <v/>
      </c>
    </row>
    <row r="33">
      <c r="B33" s="4"/>
      <c r="D33" s="4" t="str">
        <f>IFERROR(VLOOKUP(B33, estoque!B:D, 3, 0) * C33, "")</f>
        <v/>
      </c>
    </row>
    <row r="34">
      <c r="B34" s="4"/>
      <c r="D34" s="4" t="str">
        <f>IFERROR(VLOOKUP(B34, estoque!B:D, 3, 0) * C34, "")</f>
        <v/>
      </c>
    </row>
    <row r="35">
      <c r="B35" s="4"/>
      <c r="D35" s="4" t="str">
        <f>IFERROR(VLOOKUP(B35, estoque!B:D, 3, 0) * C35, "")</f>
        <v/>
      </c>
    </row>
    <row r="36">
      <c r="B36" s="4"/>
      <c r="D36" s="4" t="str">
        <f>IFERROR(VLOOKUP(B36, estoque!B:D, 3, 0) * C36, "")</f>
        <v/>
      </c>
    </row>
    <row r="37">
      <c r="B37" s="4"/>
      <c r="D37" s="4" t="str">
        <f>IFERROR(VLOOKUP(B37, estoque!B:D, 3, 0) * C37, "")</f>
        <v/>
      </c>
    </row>
    <row r="38">
      <c r="B38" s="4"/>
      <c r="D38" s="4" t="str">
        <f>IFERROR(VLOOKUP(B38, estoque!B:D, 3, 0) * C38, "")</f>
        <v/>
      </c>
    </row>
    <row r="39">
      <c r="B39" s="4"/>
      <c r="D39" s="4" t="str">
        <f>IFERROR(VLOOKUP(B39, estoque!B:D, 3, 0) * C39, "")</f>
        <v/>
      </c>
    </row>
    <row r="40">
      <c r="B40" s="4"/>
      <c r="D40" s="4" t="str">
        <f>IFERROR(VLOOKUP(B40, estoque!B:D, 3, 0) * C40, "")</f>
        <v/>
      </c>
    </row>
    <row r="41">
      <c r="B41" s="4"/>
      <c r="D41" s="4" t="str">
        <f>IFERROR(VLOOKUP(B41, estoque!B:D, 3, 0) * C41, "")</f>
        <v/>
      </c>
    </row>
    <row r="42">
      <c r="B42" s="4"/>
      <c r="D42" s="4" t="str">
        <f>IFERROR(VLOOKUP(B42, estoque!B:D, 3, 0) * C42, "")</f>
        <v/>
      </c>
    </row>
    <row r="43">
      <c r="B43" s="4"/>
      <c r="D43" s="4" t="str">
        <f>IFERROR(VLOOKUP(B43, estoque!B:D, 3, 0) * C43, "")</f>
        <v/>
      </c>
    </row>
    <row r="44">
      <c r="B44" s="4"/>
      <c r="D44" s="4" t="str">
        <f>IFERROR(VLOOKUP(B44, estoque!B:D, 3, 0) * C44, "")</f>
        <v/>
      </c>
    </row>
    <row r="45">
      <c r="B45" s="4"/>
      <c r="D45" s="4" t="str">
        <f>IFERROR(VLOOKUP(B45, estoque!B:D, 3, 0) * C45, "")</f>
        <v/>
      </c>
    </row>
    <row r="46">
      <c r="B46" s="4"/>
      <c r="D46" s="4" t="str">
        <f>IFERROR(VLOOKUP(B46, estoque!B:D, 3, 0) * C46, "")</f>
        <v/>
      </c>
    </row>
    <row r="47">
      <c r="B47" s="4"/>
      <c r="D47" s="4" t="str">
        <f>IFERROR(VLOOKUP(B47, estoque!B:D, 3, 0) * C47, "")</f>
        <v/>
      </c>
    </row>
    <row r="48">
      <c r="B48" s="4"/>
      <c r="D48" s="4" t="str">
        <f>IFERROR(VLOOKUP(B48, estoque!B:D, 3, 0) * C48, "")</f>
        <v/>
      </c>
    </row>
    <row r="49">
      <c r="B49" s="4"/>
      <c r="D49" s="4" t="str">
        <f>IFERROR(VLOOKUP(B49, estoque!B:D, 3, 0) * C49, "")</f>
        <v/>
      </c>
    </row>
    <row r="50">
      <c r="B50" s="4"/>
      <c r="D50" s="4" t="str">
        <f>IFERROR(VLOOKUP(B50, estoque!B:D, 3, 0) * C50, "")</f>
        <v/>
      </c>
    </row>
    <row r="51">
      <c r="B51" s="4"/>
      <c r="D51" s="4" t="str">
        <f>IFERROR(VLOOKUP(B51, estoque!B:D, 3, 0) * C51, "")</f>
        <v/>
      </c>
    </row>
    <row r="52">
      <c r="B52" s="4"/>
      <c r="D52" s="4" t="str">
        <f>IFERROR(VLOOKUP(B52, estoque!B:D, 3, 0) * C52, "")</f>
        <v/>
      </c>
    </row>
    <row r="53">
      <c r="B53" s="4"/>
      <c r="D53" s="4" t="str">
        <f>IFERROR(VLOOKUP(B53, estoque!B:D, 3, 0) * C53, "")</f>
        <v/>
      </c>
    </row>
    <row r="54">
      <c r="B54" s="4"/>
      <c r="D54" s="4" t="str">
        <f>IFERROR(VLOOKUP(B54, estoque!B:D, 3, 0) * C54, "")</f>
        <v/>
      </c>
    </row>
    <row r="55">
      <c r="B55" s="4"/>
      <c r="D55" s="4" t="str">
        <f>IFERROR(VLOOKUP(B55, estoque!B:D, 3, 0) * C55, "")</f>
        <v/>
      </c>
    </row>
    <row r="56">
      <c r="B56" s="4"/>
      <c r="D56" s="4" t="str">
        <f>IFERROR(VLOOKUP(B56, estoque!B:D, 3, 0) * C56, "")</f>
        <v/>
      </c>
    </row>
    <row r="57">
      <c r="B57" s="4"/>
      <c r="D57" s="4" t="str">
        <f>IFERROR(VLOOKUP(B57, estoque!B:D, 3, 0) * C57, "")</f>
        <v/>
      </c>
    </row>
    <row r="58">
      <c r="B58" s="4"/>
      <c r="D58" s="4" t="str">
        <f>IFERROR(VLOOKUP(B58, estoque!B:D, 3, 0) * C58, "")</f>
        <v/>
      </c>
    </row>
    <row r="59">
      <c r="B59" s="4"/>
      <c r="D59" s="4" t="str">
        <f>IFERROR(VLOOKUP(B59, estoque!B:D, 3, 0) * C59, "")</f>
        <v/>
      </c>
    </row>
    <row r="60">
      <c r="B60" s="4"/>
      <c r="D60" s="4" t="str">
        <f>IFERROR(VLOOKUP(B60, estoque!B:D, 3, 0) * C60, "")</f>
        <v/>
      </c>
    </row>
    <row r="61">
      <c r="B61" s="4"/>
      <c r="D61" s="4" t="str">
        <f>IFERROR(VLOOKUP(B61, estoque!B:D, 3, 0) * C61, "")</f>
        <v/>
      </c>
    </row>
    <row r="62">
      <c r="B62" s="4"/>
      <c r="D62" s="4" t="str">
        <f>IFERROR(VLOOKUP(B62, estoque!B:D, 3, 0) * C62, "")</f>
        <v/>
      </c>
    </row>
    <row r="63">
      <c r="B63" s="4"/>
      <c r="D63" s="4" t="str">
        <f>IFERROR(VLOOKUP(B63, estoque!B:D, 3, 0) * C63, "")</f>
        <v/>
      </c>
    </row>
    <row r="64">
      <c r="B64" s="4"/>
      <c r="D64" s="4" t="str">
        <f>IFERROR(VLOOKUP(B64, estoque!B:D, 3, 0) * C64, "")</f>
        <v/>
      </c>
    </row>
    <row r="65">
      <c r="B65" s="4"/>
      <c r="D65" s="4" t="str">
        <f>IFERROR(VLOOKUP(B65, estoque!B:D, 3, 0) * C65, "")</f>
        <v/>
      </c>
    </row>
    <row r="66">
      <c r="B66" s="4"/>
      <c r="D66" s="4" t="str">
        <f>IFERROR(VLOOKUP(B66, estoque!B:D, 3, 0) * C66, "")</f>
        <v/>
      </c>
    </row>
    <row r="67">
      <c r="B67" s="4"/>
      <c r="D67" s="4" t="str">
        <f>IFERROR(VLOOKUP(B67, estoque!B:D, 3, 0) * C67, "")</f>
        <v/>
      </c>
    </row>
    <row r="68">
      <c r="B68" s="4"/>
      <c r="D68" s="4" t="str">
        <f>IFERROR(VLOOKUP(B68, estoque!B:D, 3, 0) * C68, "")</f>
        <v/>
      </c>
    </row>
    <row r="69">
      <c r="B69" s="4"/>
      <c r="D69" s="4" t="str">
        <f>IFERROR(VLOOKUP(B69, estoque!B:D, 3, 0) * C69, "")</f>
        <v/>
      </c>
    </row>
    <row r="70">
      <c r="B70" s="4"/>
      <c r="D70" s="4" t="str">
        <f>IFERROR(VLOOKUP(B70, estoque!B:D, 3, 0) * C70, "")</f>
        <v/>
      </c>
    </row>
    <row r="71">
      <c r="B71" s="4"/>
      <c r="D71" s="4" t="str">
        <f>IFERROR(VLOOKUP(B71, estoque!B:D, 3, 0) * C71, "")</f>
        <v/>
      </c>
    </row>
    <row r="72">
      <c r="B72" s="4"/>
      <c r="D72" s="4" t="str">
        <f>IFERROR(VLOOKUP(B72, estoque!B:D, 3, 0) * C72, "")</f>
        <v/>
      </c>
    </row>
    <row r="73">
      <c r="B73" s="4"/>
      <c r="D73" s="4" t="str">
        <f>IFERROR(VLOOKUP(B73, estoque!B:D, 3, 0) * C73, "")</f>
        <v/>
      </c>
    </row>
    <row r="74">
      <c r="B74" s="4"/>
      <c r="D74" s="4" t="str">
        <f>IFERROR(VLOOKUP(B74, estoque!B:D, 3, 0) * C74, "")</f>
        <v/>
      </c>
    </row>
    <row r="75">
      <c r="B75" s="4"/>
      <c r="D75" s="4" t="str">
        <f>IFERROR(VLOOKUP(B75, estoque!B:D, 3, 0) * C75, "")</f>
        <v/>
      </c>
    </row>
    <row r="76">
      <c r="B76" s="4"/>
      <c r="D76" s="4" t="str">
        <f>IFERROR(VLOOKUP(B76, estoque!B:D, 3, 0) * C76, "")</f>
        <v/>
      </c>
    </row>
    <row r="77">
      <c r="B77" s="4"/>
      <c r="D77" s="4" t="str">
        <f>IFERROR(VLOOKUP(B77, estoque!B:D, 3, 0) * C77, "")</f>
        <v/>
      </c>
    </row>
    <row r="78">
      <c r="B78" s="4"/>
      <c r="D78" s="4" t="str">
        <f>IFERROR(VLOOKUP(B78, estoque!B:D, 3, 0) * C78, "")</f>
        <v/>
      </c>
    </row>
    <row r="79">
      <c r="B79" s="4"/>
      <c r="D79" s="4" t="str">
        <f>IFERROR(VLOOKUP(B79, estoque!B:D, 3, 0) * C79, "")</f>
        <v/>
      </c>
    </row>
    <row r="80">
      <c r="B80" s="4"/>
      <c r="D80" s="4" t="str">
        <f>IFERROR(VLOOKUP(B80, estoque!B:D, 3, 0) * C80, "")</f>
        <v/>
      </c>
    </row>
    <row r="81">
      <c r="B81" s="4"/>
      <c r="D81" s="4" t="str">
        <f>IFERROR(VLOOKUP(B81, estoque!B:D, 3, 0) * C81, "")</f>
        <v/>
      </c>
    </row>
    <row r="82">
      <c r="B82" s="4"/>
      <c r="D82" s="4" t="str">
        <f>IFERROR(VLOOKUP(B82, estoque!B:D, 3, 0) * C82, "")</f>
        <v/>
      </c>
    </row>
    <row r="83">
      <c r="B83" s="4"/>
      <c r="D83" s="4" t="str">
        <f>IFERROR(VLOOKUP(B83, estoque!B:D, 3, 0) * C83, "")</f>
        <v/>
      </c>
    </row>
    <row r="84">
      <c r="B84" s="4"/>
      <c r="D84" s="4" t="str">
        <f>IFERROR(VLOOKUP(B84, estoque!B:D, 3, 0) * C84, "")</f>
        <v/>
      </c>
    </row>
    <row r="85">
      <c r="B85" s="4"/>
      <c r="D85" s="4" t="str">
        <f>IFERROR(VLOOKUP(B85, estoque!B:D, 3, 0) * C85, "")</f>
        <v/>
      </c>
    </row>
    <row r="86">
      <c r="B86" s="4"/>
      <c r="D86" s="4" t="str">
        <f>IFERROR(VLOOKUP(B86, estoque!B:D, 3, 0) * C86, "")</f>
        <v/>
      </c>
    </row>
    <row r="87">
      <c r="B87" s="4"/>
      <c r="D87" s="4" t="str">
        <f>IFERROR(VLOOKUP(B87, estoque!B:D, 3, 0) * C87, "")</f>
        <v/>
      </c>
    </row>
    <row r="88">
      <c r="B88" s="4"/>
      <c r="D88" s="4" t="str">
        <f>IFERROR(VLOOKUP(B88, estoque!B:D, 3, 0) * C88, "")</f>
        <v/>
      </c>
    </row>
    <row r="89">
      <c r="B89" s="4"/>
      <c r="D89" s="4" t="str">
        <f>IFERROR(VLOOKUP(B89, estoque!B:D, 3, 0) * C89, "")</f>
        <v/>
      </c>
    </row>
    <row r="90">
      <c r="B90" s="4"/>
      <c r="D90" s="4" t="str">
        <f>IFERROR(VLOOKUP(B90, estoque!B:D, 3, 0) * C90, "")</f>
        <v/>
      </c>
    </row>
    <row r="91">
      <c r="B91" s="4"/>
      <c r="D91" s="4" t="str">
        <f>IFERROR(VLOOKUP(B91, estoque!B:D, 3, 0) * C91, "")</f>
        <v/>
      </c>
    </row>
    <row r="92">
      <c r="B92" s="4"/>
      <c r="D92" s="4" t="str">
        <f>IFERROR(VLOOKUP(B92, estoque!B:D, 3, 0) * C92, "")</f>
        <v/>
      </c>
    </row>
    <row r="93">
      <c r="B93" s="4"/>
      <c r="D93" s="4" t="str">
        <f>IFERROR(VLOOKUP(B93, estoque!B:D, 3, 0) * C93, "")</f>
        <v/>
      </c>
    </row>
    <row r="94">
      <c r="B94" s="4"/>
      <c r="D94" s="4" t="str">
        <f>IFERROR(VLOOKUP(B94, estoque!B:D, 3, 0) * C94, "")</f>
        <v/>
      </c>
    </row>
    <row r="95">
      <c r="B95" s="4"/>
      <c r="D95" s="4" t="str">
        <f>IFERROR(VLOOKUP(B95, estoque!B:D, 3, 0) * C95, "")</f>
        <v/>
      </c>
    </row>
    <row r="96">
      <c r="B96" s="4"/>
      <c r="D96" s="4" t="str">
        <f>IFERROR(VLOOKUP(B96, estoque!B:D, 3, 0) * C96, "")</f>
        <v/>
      </c>
    </row>
    <row r="97">
      <c r="B97" s="4"/>
      <c r="D97" s="4" t="str">
        <f>IFERROR(VLOOKUP(B97, estoque!B:D, 3, 0) * C97, "")</f>
        <v/>
      </c>
    </row>
    <row r="98">
      <c r="B98" s="4"/>
      <c r="D98" s="4" t="str">
        <f>IFERROR(VLOOKUP(B98, estoque!B:D, 3, 0) * C98, "")</f>
        <v/>
      </c>
    </row>
    <row r="99">
      <c r="B99" s="4"/>
      <c r="D99" s="4" t="str">
        <f>IFERROR(VLOOKUP(B99, estoque!B:D, 3, 0) * C99, "")</f>
        <v/>
      </c>
    </row>
    <row r="100">
      <c r="B100" s="4"/>
      <c r="D100" s="4" t="str">
        <f>IFERROR(VLOOKUP(B100, estoque!B:D, 3, 0) * C100, "")</f>
        <v/>
      </c>
    </row>
    <row r="101">
      <c r="B101" s="4"/>
      <c r="D101" s="4" t="str">
        <f>IFERROR(VLOOKUP(B101, estoque!B:D, 3, 0) * C101, "")</f>
        <v/>
      </c>
    </row>
    <row r="102">
      <c r="B102" s="4"/>
      <c r="D102" s="4" t="str">
        <f>IFERROR(VLOOKUP(B102, estoque!B:D, 3, 0) * C102, "")</f>
        <v/>
      </c>
    </row>
    <row r="103">
      <c r="B103" s="4"/>
      <c r="D103" s="4" t="str">
        <f>IFERROR(VLOOKUP(B103, estoque!B:D, 3, 0) * C103, "")</f>
        <v/>
      </c>
    </row>
    <row r="104">
      <c r="B104" s="4"/>
      <c r="D104" s="4" t="str">
        <f>IFERROR(VLOOKUP(B104, estoque!B:D, 3, 0) * C104, "")</f>
        <v/>
      </c>
    </row>
    <row r="105">
      <c r="B105" s="4"/>
      <c r="D105" s="4" t="str">
        <f>IFERROR(VLOOKUP(B105, estoque!B:D, 3, 0) * C105, "")</f>
        <v/>
      </c>
    </row>
    <row r="106">
      <c r="B106" s="4"/>
      <c r="D106" s="4" t="str">
        <f>IFERROR(VLOOKUP(B106, estoque!B:D, 3, 0) * C106, "")</f>
        <v/>
      </c>
    </row>
    <row r="107">
      <c r="B107" s="4"/>
      <c r="D107" s="4" t="str">
        <f>IFERROR(VLOOKUP(B107, estoque!B:D, 3, 0) * C107, "")</f>
        <v/>
      </c>
    </row>
    <row r="108">
      <c r="B108" s="4"/>
      <c r="D108" s="4" t="str">
        <f>IFERROR(VLOOKUP(B108, estoque!B:D, 3, 0) * C108, "")</f>
        <v/>
      </c>
    </row>
    <row r="109">
      <c r="B109" s="4"/>
      <c r="D109" s="4" t="str">
        <f>IFERROR(VLOOKUP(B109, estoque!B:D, 3, 0) * C109, "")</f>
        <v/>
      </c>
    </row>
    <row r="110">
      <c r="B110" s="4"/>
      <c r="D110" s="4" t="str">
        <f>IFERROR(VLOOKUP(B110, estoque!B:D, 3, 0) * C110, "")</f>
        <v/>
      </c>
    </row>
    <row r="111">
      <c r="B111" s="4"/>
      <c r="D111" s="4" t="str">
        <f>IFERROR(VLOOKUP(B111, estoque!B:D, 3, 0) * C111, "")</f>
        <v/>
      </c>
    </row>
    <row r="112">
      <c r="B112" s="4"/>
      <c r="D112" s="4" t="str">
        <f>IFERROR(VLOOKUP(B112, estoque!B:D, 3, 0) * C112, "")</f>
        <v/>
      </c>
    </row>
    <row r="113">
      <c r="B113" s="4"/>
      <c r="D113" s="4" t="str">
        <f>IFERROR(VLOOKUP(B113, estoque!B:D, 3, 0) * C113, "")</f>
        <v/>
      </c>
    </row>
    <row r="114">
      <c r="B114" s="4"/>
      <c r="D114" s="4" t="str">
        <f>IFERROR(VLOOKUP(B114, estoque!B:D, 3, 0) * C114, "")</f>
        <v/>
      </c>
    </row>
    <row r="115">
      <c r="B115" s="4"/>
      <c r="D115" s="4" t="str">
        <f>IFERROR(VLOOKUP(B115, estoque!B:D, 3, 0) * C115, "")</f>
        <v/>
      </c>
    </row>
    <row r="116">
      <c r="B116" s="4"/>
      <c r="D116" s="4" t="str">
        <f>IFERROR(VLOOKUP(B116, estoque!B:D, 3, 0) * C116, "")</f>
        <v/>
      </c>
    </row>
    <row r="117">
      <c r="B117" s="4"/>
      <c r="D117" s="4" t="str">
        <f>IFERROR(VLOOKUP(B117, estoque!B:D, 3, 0) * C117, "")</f>
        <v/>
      </c>
    </row>
    <row r="118">
      <c r="B118" s="4"/>
      <c r="D118" s="4" t="str">
        <f>IFERROR(VLOOKUP(B118, estoque!B:D, 3, 0) * C118, "")</f>
        <v/>
      </c>
    </row>
    <row r="119">
      <c r="B119" s="4"/>
      <c r="D119" s="4" t="str">
        <f>IFERROR(VLOOKUP(B119, estoque!B:D, 3, 0) * C119, "")</f>
        <v/>
      </c>
    </row>
    <row r="120">
      <c r="B120" s="4"/>
      <c r="D120" s="4" t="str">
        <f>IFERROR(VLOOKUP(B120, estoque!B:D, 3, 0) * C120, "")</f>
        <v/>
      </c>
    </row>
    <row r="121">
      <c r="B121" s="4"/>
      <c r="D121" s="4" t="str">
        <f>IFERROR(VLOOKUP(B121, estoque!B:D, 3, 0) * C121, "")</f>
        <v/>
      </c>
    </row>
    <row r="122">
      <c r="B122" s="4"/>
      <c r="D122" s="4" t="str">
        <f>IFERROR(VLOOKUP(B122, estoque!B:D, 3, 0) * C122, "")</f>
        <v/>
      </c>
    </row>
    <row r="123">
      <c r="B123" s="4"/>
      <c r="D123" s="4" t="str">
        <f>IFERROR(VLOOKUP(B123, estoque!B:D, 3, 0) * C123, "")</f>
        <v/>
      </c>
    </row>
    <row r="124">
      <c r="B124" s="4"/>
      <c r="D124" s="4" t="str">
        <f>IFERROR(VLOOKUP(B124, estoque!B:D, 3, 0) * C124, "")</f>
        <v/>
      </c>
    </row>
    <row r="125">
      <c r="B125" s="4"/>
      <c r="D125" s="4" t="str">
        <f>IFERROR(VLOOKUP(B125, estoque!B:D, 3, 0) * C125, "")</f>
        <v/>
      </c>
    </row>
    <row r="126">
      <c r="B126" s="4"/>
      <c r="D126" s="4" t="str">
        <f>IFERROR(VLOOKUP(B126, estoque!B:D, 3, 0) * C126, "")</f>
        <v/>
      </c>
    </row>
    <row r="127">
      <c r="B127" s="4"/>
      <c r="D127" s="4" t="str">
        <f>IFERROR(VLOOKUP(B127, estoque!B:D, 3, 0) * C127, "")</f>
        <v/>
      </c>
    </row>
    <row r="128">
      <c r="B128" s="4"/>
      <c r="D128" s="4" t="str">
        <f>IFERROR(VLOOKUP(B128, estoque!B:D, 3, 0) * C128, "")</f>
        <v/>
      </c>
    </row>
    <row r="129">
      <c r="B129" s="4"/>
      <c r="D129" s="4" t="str">
        <f>IFERROR(VLOOKUP(B129, estoque!B:D, 3, 0) * C129, "")</f>
        <v/>
      </c>
    </row>
    <row r="130">
      <c r="B130" s="4"/>
      <c r="D130" s="4" t="str">
        <f>IFERROR(VLOOKUP(B130, estoque!B:D, 3, 0) * C130, "")</f>
        <v/>
      </c>
    </row>
    <row r="131">
      <c r="B131" s="4"/>
      <c r="D131" s="4" t="str">
        <f>IFERROR(VLOOKUP(B131, estoque!B:D, 3, 0) * C131, "")</f>
        <v/>
      </c>
    </row>
    <row r="132">
      <c r="B132" s="4"/>
      <c r="D132" s="4" t="str">
        <f>IFERROR(VLOOKUP(B132, estoque!B:D, 3, 0) * C132, "")</f>
        <v/>
      </c>
    </row>
    <row r="133">
      <c r="B133" s="4"/>
      <c r="D133" s="4" t="str">
        <f>IFERROR(VLOOKUP(B133, estoque!B:D, 3, 0) * C133, "")</f>
        <v/>
      </c>
    </row>
    <row r="134">
      <c r="B134" s="4"/>
      <c r="D134" s="4" t="str">
        <f>IFERROR(VLOOKUP(B134, estoque!B:D, 3, 0) * C134, "")</f>
        <v/>
      </c>
    </row>
    <row r="135">
      <c r="B135" s="4"/>
      <c r="D135" s="4" t="str">
        <f>IFERROR(VLOOKUP(B135, estoque!B:D, 3, 0) * C135, "")</f>
        <v/>
      </c>
    </row>
    <row r="136">
      <c r="B136" s="4"/>
      <c r="D136" s="4" t="str">
        <f>IFERROR(VLOOKUP(B136, estoque!B:D, 3, 0) * C136, "")</f>
        <v/>
      </c>
    </row>
    <row r="137">
      <c r="B137" s="4"/>
      <c r="D137" s="4" t="str">
        <f>IFERROR(VLOOKUP(B137, estoque!B:D, 3, 0) * C137, "")</f>
        <v/>
      </c>
    </row>
    <row r="138">
      <c r="B138" s="4"/>
      <c r="D138" s="4" t="str">
        <f>IFERROR(VLOOKUP(B138, estoque!B:D, 3, 0) * C138, "")</f>
        <v/>
      </c>
    </row>
    <row r="139">
      <c r="B139" s="4"/>
      <c r="D139" s="4" t="str">
        <f>IFERROR(VLOOKUP(B139, estoque!B:D, 3, 0) * C139, "")</f>
        <v/>
      </c>
    </row>
    <row r="140">
      <c r="B140" s="4"/>
      <c r="D140" s="4" t="str">
        <f>IFERROR(VLOOKUP(B140, estoque!B:D, 3, 0) * C140, "")</f>
        <v/>
      </c>
    </row>
    <row r="141">
      <c r="B141" s="4"/>
      <c r="D141" s="4" t="str">
        <f>IFERROR(VLOOKUP(B141, estoque!B:D, 3, 0) * C141, "")</f>
        <v/>
      </c>
    </row>
    <row r="142">
      <c r="B142" s="4"/>
      <c r="D142" s="4" t="str">
        <f>IFERROR(VLOOKUP(B142, estoque!B:D, 3, 0) * C142, "")</f>
        <v/>
      </c>
    </row>
    <row r="143">
      <c r="B143" s="4"/>
      <c r="D143" s="4" t="str">
        <f>IFERROR(VLOOKUP(B143, estoque!B:D, 3, 0) * C143, "")</f>
        <v/>
      </c>
    </row>
    <row r="144">
      <c r="B144" s="4"/>
      <c r="D144" s="4" t="str">
        <f>IFERROR(VLOOKUP(B144, estoque!B:D, 3, 0) * C144, "")</f>
        <v/>
      </c>
    </row>
    <row r="145">
      <c r="B145" s="4"/>
      <c r="D145" s="4" t="str">
        <f>IFERROR(VLOOKUP(B145, estoque!B:D, 3, 0) * C145, "")</f>
        <v/>
      </c>
    </row>
    <row r="146">
      <c r="B146" s="4"/>
      <c r="D146" s="4" t="str">
        <f>IFERROR(VLOOKUP(B146, estoque!B:D, 3, 0) * C146, "")</f>
        <v/>
      </c>
    </row>
    <row r="147">
      <c r="B147" s="4"/>
      <c r="D147" s="4" t="str">
        <f>IFERROR(VLOOKUP(B147, estoque!B:D, 3, 0) * C147, "")</f>
        <v/>
      </c>
    </row>
    <row r="148">
      <c r="B148" s="4"/>
      <c r="D148" s="4" t="str">
        <f>IFERROR(VLOOKUP(B148, estoque!B:D, 3, 0) * C148, "")</f>
        <v/>
      </c>
    </row>
    <row r="149">
      <c r="B149" s="4"/>
      <c r="D149" s="4" t="str">
        <f>IFERROR(VLOOKUP(B149, estoque!B:D, 3, 0) * C149, "")</f>
        <v/>
      </c>
    </row>
    <row r="150">
      <c r="B150" s="4"/>
      <c r="D150" s="4" t="str">
        <f>IFERROR(VLOOKUP(B150, estoque!B:D, 3, 0) * C150, "")</f>
        <v/>
      </c>
    </row>
    <row r="151">
      <c r="B151" s="4"/>
      <c r="D151" s="4" t="str">
        <f>IFERROR(VLOOKUP(B151, estoque!B:D, 3, 0) * C151, "")</f>
        <v/>
      </c>
    </row>
    <row r="152">
      <c r="B152" s="4"/>
      <c r="D152" s="4" t="str">
        <f>IFERROR(VLOOKUP(B152, estoque!B:D, 3, 0) * C152, "")</f>
        <v/>
      </c>
    </row>
    <row r="153">
      <c r="B153" s="4"/>
      <c r="D153" s="4" t="str">
        <f>IFERROR(VLOOKUP(B153, estoque!B:D, 3, 0) * C153, "")</f>
        <v/>
      </c>
    </row>
    <row r="154">
      <c r="B154" s="4"/>
      <c r="D154" s="4" t="str">
        <f>IFERROR(VLOOKUP(B154, estoque!B:D, 3, 0) * C154, "")</f>
        <v/>
      </c>
    </row>
    <row r="155">
      <c r="B155" s="4"/>
      <c r="D155" s="4" t="str">
        <f>IFERROR(VLOOKUP(B155, estoque!B:D, 3, 0) * C155, "")</f>
        <v/>
      </c>
    </row>
    <row r="156">
      <c r="B156" s="4"/>
      <c r="D156" s="4" t="str">
        <f>IFERROR(VLOOKUP(B156, estoque!B:D, 3, 0) * C156, "")</f>
        <v/>
      </c>
    </row>
    <row r="157">
      <c r="B157" s="4"/>
      <c r="D157" s="4" t="str">
        <f>IFERROR(VLOOKUP(B157, estoque!B:D, 3, 0) * C157, "")</f>
        <v/>
      </c>
    </row>
    <row r="158">
      <c r="B158" s="4"/>
      <c r="D158" s="4" t="str">
        <f>IFERROR(VLOOKUP(B158, estoque!B:D, 3, 0) * C158, "")</f>
        <v/>
      </c>
    </row>
    <row r="159">
      <c r="B159" s="4"/>
      <c r="D159" s="4" t="str">
        <f>IFERROR(VLOOKUP(B159, estoque!B:D, 3, 0) * C159, "")</f>
        <v/>
      </c>
    </row>
    <row r="160">
      <c r="B160" s="4"/>
      <c r="D160" s="4" t="str">
        <f>IFERROR(VLOOKUP(B160, estoque!B:D, 3, 0) * C160, "")</f>
        <v/>
      </c>
    </row>
    <row r="161">
      <c r="B161" s="4"/>
      <c r="D161" s="4" t="str">
        <f>IFERROR(VLOOKUP(B161, estoque!B:D, 3, 0) * C161, "")</f>
        <v/>
      </c>
    </row>
    <row r="162">
      <c r="B162" s="4"/>
      <c r="D162" s="4" t="str">
        <f>IFERROR(VLOOKUP(B162, estoque!B:D, 3, 0) * C162, "")</f>
        <v/>
      </c>
    </row>
    <row r="163">
      <c r="B163" s="4"/>
      <c r="D163" s="4" t="str">
        <f>IFERROR(VLOOKUP(B163, estoque!B:D, 3, 0) * C163, "")</f>
        <v/>
      </c>
    </row>
    <row r="164">
      <c r="B164" s="4"/>
      <c r="D164" s="4" t="str">
        <f>IFERROR(VLOOKUP(B164, estoque!B:D, 3, 0) * C164, "")</f>
        <v/>
      </c>
    </row>
    <row r="165">
      <c r="B165" s="4"/>
      <c r="D165" s="4" t="str">
        <f>IFERROR(VLOOKUP(B165, estoque!B:D, 3, 0) * C165, "")</f>
        <v/>
      </c>
    </row>
    <row r="166">
      <c r="B166" s="4"/>
      <c r="D166" s="4" t="str">
        <f>IFERROR(VLOOKUP(B166, estoque!B:D, 3, 0) * C166, "")</f>
        <v/>
      </c>
    </row>
    <row r="167">
      <c r="B167" s="4"/>
      <c r="D167" s="4" t="str">
        <f>IFERROR(VLOOKUP(B167, estoque!B:D, 3, 0) * C167, "")</f>
        <v/>
      </c>
    </row>
    <row r="168">
      <c r="B168" s="4"/>
      <c r="D168" s="4" t="str">
        <f>IFERROR(VLOOKUP(B168, estoque!B:D, 3, 0) * C168, "")</f>
        <v/>
      </c>
    </row>
    <row r="169">
      <c r="B169" s="4"/>
      <c r="D169" s="4" t="str">
        <f>IFERROR(VLOOKUP(B169, estoque!B:D, 3, 0) * C169, "")</f>
        <v/>
      </c>
    </row>
    <row r="170">
      <c r="B170" s="4"/>
      <c r="D170" s="4" t="str">
        <f>IFERROR(VLOOKUP(B170, estoque!B:D, 3, 0) * C170, "")</f>
        <v/>
      </c>
    </row>
    <row r="171">
      <c r="B171" s="4"/>
      <c r="D171" s="4" t="str">
        <f>IFERROR(VLOOKUP(B171, estoque!B:D, 3, 0) * C171, "")</f>
        <v/>
      </c>
    </row>
    <row r="172">
      <c r="B172" s="4"/>
      <c r="D172" s="4" t="str">
        <f>IFERROR(VLOOKUP(B172, estoque!B:D, 3, 0) * C172, "")</f>
        <v/>
      </c>
    </row>
    <row r="173">
      <c r="B173" s="4"/>
      <c r="D173" s="4" t="str">
        <f>IFERROR(VLOOKUP(B173, estoque!B:D, 3, 0) * C173, "")</f>
        <v/>
      </c>
    </row>
    <row r="174">
      <c r="B174" s="4"/>
      <c r="D174" s="4" t="str">
        <f>IFERROR(VLOOKUP(B174, estoque!B:D, 3, 0) * C174, "")</f>
        <v/>
      </c>
    </row>
    <row r="175">
      <c r="B175" s="4"/>
      <c r="D175" s="4" t="str">
        <f>IFERROR(VLOOKUP(B175, estoque!B:D, 3, 0) * C175, "")</f>
        <v/>
      </c>
    </row>
    <row r="176">
      <c r="B176" s="4"/>
      <c r="D176" s="4" t="str">
        <f>IFERROR(VLOOKUP(B176, estoque!B:D, 3, 0) * C176, "")</f>
        <v/>
      </c>
    </row>
    <row r="177">
      <c r="B177" s="4"/>
      <c r="D177" s="4" t="str">
        <f>IFERROR(VLOOKUP(B177, estoque!B:D, 3, 0) * C177, "")</f>
        <v/>
      </c>
    </row>
    <row r="178">
      <c r="B178" s="4"/>
      <c r="D178" s="4" t="str">
        <f>IFERROR(VLOOKUP(B178, estoque!B:D, 3, 0) * C178, "")</f>
        <v/>
      </c>
    </row>
    <row r="179">
      <c r="B179" s="4"/>
      <c r="D179" s="4" t="str">
        <f>IFERROR(VLOOKUP(B179, estoque!B:D, 3, 0) * C179, "")</f>
        <v/>
      </c>
    </row>
    <row r="180">
      <c r="B180" s="4"/>
      <c r="D180" s="4" t="str">
        <f>IFERROR(VLOOKUP(B180, estoque!B:D, 3, 0) * C180, "")</f>
        <v/>
      </c>
    </row>
    <row r="181">
      <c r="B181" s="4"/>
      <c r="D181" s="4" t="str">
        <f>IFERROR(VLOOKUP(B181, estoque!B:D, 3, 0) * C181, "")</f>
        <v/>
      </c>
    </row>
    <row r="182">
      <c r="B182" s="4"/>
      <c r="D182" s="4" t="str">
        <f>IFERROR(VLOOKUP(B182, estoque!B:D, 3, 0) * C182, "")</f>
        <v/>
      </c>
    </row>
    <row r="183">
      <c r="B183" s="4"/>
      <c r="D183" s="4" t="str">
        <f>IFERROR(VLOOKUP(B183, estoque!B:D, 3, 0) * C183, "")</f>
        <v/>
      </c>
    </row>
    <row r="184">
      <c r="B184" s="4"/>
      <c r="D184" s="4" t="str">
        <f>IFERROR(VLOOKUP(B184, estoque!B:D, 3, 0) * C184, "")</f>
        <v/>
      </c>
    </row>
    <row r="185">
      <c r="B185" s="4"/>
      <c r="D185" s="4" t="str">
        <f>IFERROR(VLOOKUP(B185, estoque!B:D, 3, 0) * C185, "")</f>
        <v/>
      </c>
    </row>
    <row r="186">
      <c r="B186" s="4"/>
      <c r="D186" s="4" t="str">
        <f>IFERROR(VLOOKUP(B186, estoque!B:D, 3, 0) * C186, "")</f>
        <v/>
      </c>
    </row>
    <row r="187">
      <c r="B187" s="4"/>
      <c r="D187" s="4" t="str">
        <f>IFERROR(VLOOKUP(B187, estoque!B:D, 3, 0) * C187, "")</f>
        <v/>
      </c>
    </row>
    <row r="188">
      <c r="B188" s="4"/>
      <c r="D188" s="4" t="str">
        <f>IFERROR(VLOOKUP(B188, estoque!B:D, 3, 0) * C188, "")</f>
        <v/>
      </c>
    </row>
    <row r="189">
      <c r="B189" s="4"/>
      <c r="D189" s="4" t="str">
        <f>IFERROR(VLOOKUP(B189, estoque!B:D, 3, 0) * C189, "")</f>
        <v/>
      </c>
    </row>
    <row r="190">
      <c r="B190" s="4"/>
      <c r="D190" s="4" t="str">
        <f>IFERROR(VLOOKUP(B190, estoque!B:D, 3, 0) * C190, "")</f>
        <v/>
      </c>
    </row>
    <row r="191">
      <c r="B191" s="4"/>
      <c r="D191" s="4" t="str">
        <f>IFERROR(VLOOKUP(B191, estoque!B:D, 3, 0) * C191, "")</f>
        <v/>
      </c>
    </row>
    <row r="192">
      <c r="B192" s="4"/>
      <c r="D192" s="4" t="str">
        <f>IFERROR(VLOOKUP(B192, estoque!B:D, 3, 0) * C192, "")</f>
        <v/>
      </c>
    </row>
    <row r="193">
      <c r="B193" s="4"/>
      <c r="D193" s="4" t="str">
        <f>IFERROR(VLOOKUP(B193, estoque!B:D, 3, 0) * C193, "")</f>
        <v/>
      </c>
    </row>
    <row r="194">
      <c r="B194" s="4"/>
      <c r="D194" s="4" t="str">
        <f>IFERROR(VLOOKUP(B194, estoque!B:D, 3, 0) * C194, "")</f>
        <v/>
      </c>
    </row>
    <row r="195">
      <c r="B195" s="4"/>
      <c r="D195" s="4" t="str">
        <f>IFERROR(VLOOKUP(B195, estoque!B:D, 3, 0) * C195, "")</f>
        <v/>
      </c>
    </row>
    <row r="196">
      <c r="B196" s="4"/>
      <c r="D196" s="4" t="str">
        <f>IFERROR(VLOOKUP(B196, estoque!B:D, 3, 0) * C196, "")</f>
        <v/>
      </c>
    </row>
    <row r="197">
      <c r="B197" s="4"/>
      <c r="D197" s="4" t="str">
        <f>IFERROR(VLOOKUP(B197, estoque!B:D, 3, 0) * C197, "")</f>
        <v/>
      </c>
    </row>
    <row r="198">
      <c r="B198" s="4"/>
      <c r="D198" s="4" t="str">
        <f>IFERROR(VLOOKUP(B198, estoque!B:D, 3, 0) * C198, "")</f>
        <v/>
      </c>
    </row>
    <row r="199">
      <c r="B199" s="4"/>
      <c r="D199" s="4" t="str">
        <f>IFERROR(VLOOKUP(B199, estoque!B:D, 3, 0) * C199, "")</f>
        <v/>
      </c>
    </row>
    <row r="200">
      <c r="B200" s="4"/>
      <c r="D200" s="4" t="str">
        <f>IFERROR(VLOOKUP(B200, estoque!B:D, 3, 0) * C200, "")</f>
        <v/>
      </c>
    </row>
    <row r="201">
      <c r="B201" s="4"/>
      <c r="D201" s="4" t="str">
        <f>IFERROR(VLOOKUP(B201, estoque!B:D, 3, 0) * C201, "")</f>
        <v/>
      </c>
    </row>
    <row r="202">
      <c r="B202" s="4"/>
      <c r="D202" s="4" t="str">
        <f>IFERROR(VLOOKUP(B202, estoque!B:D, 3, 0) * C202, "")</f>
        <v/>
      </c>
    </row>
    <row r="203">
      <c r="B203" s="4"/>
      <c r="D203" s="4" t="str">
        <f>IFERROR(VLOOKUP(B203, estoque!B:D, 3, 0) * C203, "")</f>
        <v/>
      </c>
    </row>
    <row r="204">
      <c r="B204" s="4"/>
      <c r="D204" s="4" t="str">
        <f>IFERROR(VLOOKUP(B204, estoque!B:D, 3, 0) * C204, "")</f>
        <v/>
      </c>
    </row>
    <row r="205">
      <c r="B205" s="4"/>
      <c r="D205" s="4" t="str">
        <f>IFERROR(VLOOKUP(B205, estoque!B:D, 3, 0) * C205, "")</f>
        <v/>
      </c>
    </row>
    <row r="206">
      <c r="B206" s="4"/>
      <c r="D206" s="4" t="str">
        <f>IFERROR(VLOOKUP(B206, estoque!B:D, 3, 0) * C206, "")</f>
        <v/>
      </c>
    </row>
    <row r="207">
      <c r="B207" s="4"/>
      <c r="D207" s="4" t="str">
        <f>IFERROR(VLOOKUP(B207, estoque!B:D, 3, 0) * C207, "")</f>
        <v/>
      </c>
    </row>
    <row r="208">
      <c r="B208" s="4"/>
      <c r="D208" s="4" t="str">
        <f>IFERROR(VLOOKUP(B208, estoque!B:D, 3, 0) * C208, "")</f>
        <v/>
      </c>
    </row>
    <row r="209">
      <c r="B209" s="4"/>
      <c r="D209" s="4" t="str">
        <f>IFERROR(VLOOKUP(B209, estoque!B:D, 3, 0) * C209, "")</f>
        <v/>
      </c>
    </row>
    <row r="210">
      <c r="B210" s="4"/>
      <c r="D210" s="4" t="str">
        <f>IFERROR(VLOOKUP(B210, estoque!B:D, 3, 0) * C210, "")</f>
        <v/>
      </c>
    </row>
    <row r="211">
      <c r="B211" s="4"/>
      <c r="D211" s="4" t="str">
        <f>IFERROR(VLOOKUP(B211, estoque!B:D, 3, 0) * C211, "")</f>
        <v/>
      </c>
    </row>
    <row r="212">
      <c r="B212" s="4"/>
      <c r="D212" s="4" t="str">
        <f>IFERROR(VLOOKUP(B212, estoque!B:D, 3, 0) * C212, "")</f>
        <v/>
      </c>
    </row>
    <row r="213">
      <c r="B213" s="4"/>
      <c r="D213" s="4" t="str">
        <f>IFERROR(VLOOKUP(B213, estoque!B:D, 3, 0) * C213, "")</f>
        <v/>
      </c>
    </row>
    <row r="214">
      <c r="B214" s="4"/>
      <c r="D214" s="4" t="str">
        <f>IFERROR(VLOOKUP(B214, estoque!B:D, 3, 0) * C214, "")</f>
        <v/>
      </c>
    </row>
    <row r="215">
      <c r="B215" s="4"/>
      <c r="D215" s="4" t="str">
        <f>IFERROR(VLOOKUP(B215, estoque!B:D, 3, 0) * C215, "")</f>
        <v/>
      </c>
    </row>
    <row r="216">
      <c r="B216" s="4"/>
      <c r="D216" s="4" t="str">
        <f>IFERROR(VLOOKUP(B216, estoque!B:D, 3, 0) * C216, "")</f>
        <v/>
      </c>
    </row>
    <row r="217">
      <c r="B217" s="4"/>
      <c r="D217" s="4" t="str">
        <f>IFERROR(VLOOKUP(B217, estoque!B:D, 3, 0) * C217, "")</f>
        <v/>
      </c>
    </row>
    <row r="218">
      <c r="B218" s="4"/>
      <c r="D218" s="4" t="str">
        <f>IFERROR(VLOOKUP(B218, estoque!B:D, 3, 0) * C218, "")</f>
        <v/>
      </c>
    </row>
    <row r="219">
      <c r="B219" s="4"/>
      <c r="D219" s="4" t="str">
        <f>IFERROR(VLOOKUP(B219, estoque!B:D, 3, 0) * C219, "")</f>
        <v/>
      </c>
    </row>
    <row r="220">
      <c r="B220" s="4"/>
      <c r="D220" s="4" t="str">
        <f>IFERROR(VLOOKUP(B220, estoque!B:D, 3, 0) * C220, "")</f>
        <v/>
      </c>
    </row>
    <row r="221">
      <c r="B221" s="4"/>
      <c r="D221" s="4" t="str">
        <f>IFERROR(VLOOKUP(B221, estoque!B:D, 3, 0) * C221, "")</f>
        <v/>
      </c>
    </row>
    <row r="222">
      <c r="B222" s="4"/>
      <c r="D222" s="4" t="str">
        <f>IFERROR(VLOOKUP(B222, estoque!B:D, 3, 0) * C222, "")</f>
        <v/>
      </c>
    </row>
    <row r="223">
      <c r="B223" s="4"/>
      <c r="D223" s="4" t="str">
        <f>IFERROR(VLOOKUP(B223, estoque!B:D, 3, 0) * C223, "")</f>
        <v/>
      </c>
    </row>
    <row r="224">
      <c r="B224" s="4"/>
      <c r="D224" s="4" t="str">
        <f>IFERROR(VLOOKUP(B224, estoque!B:D, 3, 0) * C224, "")</f>
        <v/>
      </c>
    </row>
    <row r="225">
      <c r="B225" s="4"/>
      <c r="D225" s="4" t="str">
        <f>IFERROR(VLOOKUP(B225, estoque!B:D, 3, 0) * C225, "")</f>
        <v/>
      </c>
    </row>
    <row r="226">
      <c r="B226" s="4"/>
      <c r="D226" s="4" t="str">
        <f>IFERROR(VLOOKUP(B226, estoque!B:D, 3, 0) * C226, "")</f>
        <v/>
      </c>
    </row>
    <row r="227">
      <c r="B227" s="4"/>
      <c r="D227" s="4" t="str">
        <f>IFERROR(VLOOKUP(B227, estoque!B:D, 3, 0) * C227, "")</f>
        <v/>
      </c>
    </row>
    <row r="228">
      <c r="B228" s="4"/>
      <c r="D228" s="4" t="str">
        <f>IFERROR(VLOOKUP(B228, estoque!B:D, 3, 0) * C228, "")</f>
        <v/>
      </c>
    </row>
    <row r="229">
      <c r="B229" s="4"/>
      <c r="D229" s="4" t="str">
        <f>IFERROR(VLOOKUP(B229, estoque!B:D, 3, 0) * C229, "")</f>
        <v/>
      </c>
    </row>
    <row r="230">
      <c r="B230" s="4"/>
      <c r="D230" s="4" t="str">
        <f>IFERROR(VLOOKUP(B230, estoque!B:D, 3, 0) * C230, "")</f>
        <v/>
      </c>
    </row>
    <row r="231">
      <c r="B231" s="4"/>
      <c r="D231" s="4" t="str">
        <f>IFERROR(VLOOKUP(B231, estoque!B:D, 3, 0) * C231, "")</f>
        <v/>
      </c>
    </row>
    <row r="232">
      <c r="B232" s="4"/>
      <c r="D232" s="4" t="str">
        <f>IFERROR(VLOOKUP(B232, estoque!B:D, 3, 0) * C232, "")</f>
        <v/>
      </c>
    </row>
    <row r="233">
      <c r="B233" s="4"/>
      <c r="D233" s="4" t="str">
        <f>IFERROR(VLOOKUP(B233, estoque!B:D, 3, 0) * C233, "")</f>
        <v/>
      </c>
    </row>
    <row r="234">
      <c r="B234" s="4"/>
      <c r="D234" s="4" t="str">
        <f>IFERROR(VLOOKUP(B234, estoque!B:D, 3, 0) * C234, "")</f>
        <v/>
      </c>
    </row>
    <row r="235">
      <c r="B235" s="4"/>
      <c r="D235" s="4" t="str">
        <f>IFERROR(VLOOKUP(B235, estoque!B:D, 3, 0) * C235, "")</f>
        <v/>
      </c>
    </row>
    <row r="236">
      <c r="B236" s="4"/>
      <c r="D236" s="4" t="str">
        <f>IFERROR(VLOOKUP(B236, estoque!B:D, 3, 0) * C236, "")</f>
        <v/>
      </c>
    </row>
    <row r="237">
      <c r="B237" s="4"/>
      <c r="D237" s="4" t="str">
        <f>IFERROR(VLOOKUP(B237, estoque!B:D, 3, 0) * C237, "")</f>
        <v/>
      </c>
    </row>
    <row r="238">
      <c r="B238" s="4"/>
      <c r="D238" s="4" t="str">
        <f>IFERROR(VLOOKUP(B238, estoque!B:D, 3, 0) * C238, "")</f>
        <v/>
      </c>
    </row>
    <row r="239">
      <c r="B239" s="4"/>
      <c r="D239" s="4" t="str">
        <f>IFERROR(VLOOKUP(B239, estoque!B:D, 3, 0) * C239, "")</f>
        <v/>
      </c>
    </row>
    <row r="240">
      <c r="B240" s="4"/>
      <c r="D240" s="4" t="str">
        <f>IFERROR(VLOOKUP(B240, estoque!B:D, 3, 0) * C240, "")</f>
        <v/>
      </c>
    </row>
    <row r="241">
      <c r="B241" s="4"/>
      <c r="D241" s="4" t="str">
        <f>IFERROR(VLOOKUP(B241, estoque!B:D, 3, 0) * C241, "")</f>
        <v/>
      </c>
    </row>
    <row r="242">
      <c r="B242" s="4"/>
      <c r="D242" s="4" t="str">
        <f>IFERROR(VLOOKUP(B242, estoque!B:D, 3, 0) * C242, "")</f>
        <v/>
      </c>
    </row>
    <row r="243">
      <c r="B243" s="4"/>
      <c r="D243" s="4" t="str">
        <f>IFERROR(VLOOKUP(B243, estoque!B:D, 3, 0) * C243, "")</f>
        <v/>
      </c>
    </row>
    <row r="244">
      <c r="B244" s="4"/>
      <c r="D244" s="4" t="str">
        <f>IFERROR(VLOOKUP(B244, estoque!B:D, 3, 0) * C244, "")</f>
        <v/>
      </c>
    </row>
    <row r="245">
      <c r="B245" s="4"/>
      <c r="D245" s="4" t="str">
        <f>IFERROR(VLOOKUP(B245, estoque!B:D, 3, 0) * C245, "")</f>
        <v/>
      </c>
    </row>
    <row r="246">
      <c r="B246" s="4"/>
      <c r="D246" s="4" t="str">
        <f>IFERROR(VLOOKUP(B246, estoque!B:D, 3, 0) * C246, "")</f>
        <v/>
      </c>
    </row>
    <row r="247">
      <c r="B247" s="4"/>
      <c r="D247" s="4" t="str">
        <f>IFERROR(VLOOKUP(B247, estoque!B:D, 3, 0) * C247, "")</f>
        <v/>
      </c>
    </row>
    <row r="248">
      <c r="B248" s="4"/>
      <c r="D248" s="4" t="str">
        <f>IFERROR(VLOOKUP(B248, estoque!B:D, 3, 0) * C248, "")</f>
        <v/>
      </c>
    </row>
    <row r="249">
      <c r="B249" s="4"/>
      <c r="D249" s="4" t="str">
        <f>IFERROR(VLOOKUP(B249, estoque!B:D, 3, 0) * C249, "")</f>
        <v/>
      </c>
    </row>
    <row r="250">
      <c r="B250" s="4"/>
      <c r="D250" s="4" t="str">
        <f>IFERROR(VLOOKUP(B250, estoque!B:D, 3, 0) * C250, "")</f>
        <v/>
      </c>
    </row>
    <row r="251">
      <c r="B251" s="4"/>
      <c r="D251" s="4" t="str">
        <f>IFERROR(VLOOKUP(B251, estoque!B:D, 3, 0) * C251, "")</f>
        <v/>
      </c>
    </row>
    <row r="252">
      <c r="B252" s="4"/>
      <c r="D252" s="4" t="str">
        <f>IFERROR(VLOOKUP(B252, estoque!B:D, 3, 0) * C252, "")</f>
        <v/>
      </c>
    </row>
    <row r="253">
      <c r="B253" s="4"/>
      <c r="D253" s="4" t="str">
        <f>IFERROR(VLOOKUP(B253, estoque!B:D, 3, 0) * C253, "")</f>
        <v/>
      </c>
    </row>
    <row r="254">
      <c r="B254" s="4"/>
      <c r="D254" s="4" t="str">
        <f>IFERROR(VLOOKUP(B254, estoque!B:D, 3, 0) * C254, "")</f>
        <v/>
      </c>
    </row>
    <row r="255">
      <c r="B255" s="4"/>
      <c r="D255" s="4" t="str">
        <f>IFERROR(VLOOKUP(B255, estoque!B:D, 3, 0) * C255, "")</f>
        <v/>
      </c>
    </row>
    <row r="256">
      <c r="B256" s="4"/>
      <c r="D256" s="4" t="str">
        <f>IFERROR(VLOOKUP(B256, estoque!B:D, 3, 0) * C256, "")</f>
        <v/>
      </c>
    </row>
    <row r="257">
      <c r="B257" s="4"/>
      <c r="D257" s="4" t="str">
        <f>IFERROR(VLOOKUP(B257, estoque!B:D, 3, 0) * C257, "")</f>
        <v/>
      </c>
    </row>
    <row r="258">
      <c r="B258" s="4"/>
      <c r="D258" s="4" t="str">
        <f>IFERROR(VLOOKUP(B258, estoque!B:D, 3, 0) * C258, "")</f>
        <v/>
      </c>
    </row>
    <row r="259">
      <c r="B259" s="4"/>
      <c r="D259" s="4" t="str">
        <f>IFERROR(VLOOKUP(B259, estoque!B:D, 3, 0) * C259, "")</f>
        <v/>
      </c>
    </row>
    <row r="260">
      <c r="B260" s="4"/>
      <c r="D260" s="4" t="str">
        <f>IFERROR(VLOOKUP(B260, estoque!B:D, 3, 0) * C260, "")</f>
        <v/>
      </c>
    </row>
    <row r="261">
      <c r="B261" s="4"/>
      <c r="D261" s="4" t="str">
        <f>IFERROR(VLOOKUP(B261, estoque!B:D, 3, 0) * C261, "")</f>
        <v/>
      </c>
    </row>
    <row r="262">
      <c r="B262" s="4"/>
      <c r="D262" s="4" t="str">
        <f>IFERROR(VLOOKUP(B262, estoque!B:D, 3, 0) * C262, "")</f>
        <v/>
      </c>
    </row>
    <row r="263">
      <c r="B263" s="4"/>
      <c r="D263" s="4" t="str">
        <f>IFERROR(VLOOKUP(B263, estoque!B:D, 3, 0) * C263, "")</f>
        <v/>
      </c>
    </row>
    <row r="264">
      <c r="B264" s="4"/>
      <c r="D264" s="4" t="str">
        <f>IFERROR(VLOOKUP(B264, estoque!B:D, 3, 0) * C264, "")</f>
        <v/>
      </c>
    </row>
    <row r="265">
      <c r="B265" s="4"/>
      <c r="D265" s="4" t="str">
        <f>IFERROR(VLOOKUP(B265, estoque!B:D, 3, 0) * C265, "")</f>
        <v/>
      </c>
    </row>
    <row r="266">
      <c r="B266" s="4"/>
      <c r="D266" s="4" t="str">
        <f>IFERROR(VLOOKUP(B266, estoque!B:D, 3, 0) * C266, "")</f>
        <v/>
      </c>
    </row>
    <row r="267">
      <c r="B267" s="4"/>
      <c r="D267" s="4" t="str">
        <f>IFERROR(VLOOKUP(B267, estoque!B:D, 3, 0) * C267, "")</f>
        <v/>
      </c>
    </row>
    <row r="268">
      <c r="B268" s="4"/>
      <c r="D268" s="4" t="str">
        <f>IFERROR(VLOOKUP(B268, estoque!B:D, 3, 0) * C268, "")</f>
        <v/>
      </c>
    </row>
    <row r="269">
      <c r="B269" s="4"/>
      <c r="D269" s="4" t="str">
        <f>IFERROR(VLOOKUP(B269, estoque!B:D, 3, 0) * C269, "")</f>
        <v/>
      </c>
    </row>
    <row r="270">
      <c r="B270" s="4"/>
      <c r="D270" s="4" t="str">
        <f>IFERROR(VLOOKUP(B270, estoque!B:D, 3, 0) * C270, "")</f>
        <v/>
      </c>
    </row>
    <row r="271">
      <c r="B271" s="4"/>
      <c r="D271" s="4" t="str">
        <f>IFERROR(VLOOKUP(B271, estoque!B:D, 3, 0) * C271, "")</f>
        <v/>
      </c>
    </row>
    <row r="272">
      <c r="B272" s="4"/>
      <c r="D272" s="4" t="str">
        <f>IFERROR(VLOOKUP(B272, estoque!B:D, 3, 0) * C272, "")</f>
        <v/>
      </c>
    </row>
    <row r="273">
      <c r="B273" s="4"/>
      <c r="D273" s="4" t="str">
        <f>IFERROR(VLOOKUP(B273, estoque!B:D, 3, 0) * C273, "")</f>
        <v/>
      </c>
    </row>
    <row r="274">
      <c r="B274" s="4"/>
      <c r="D274" s="4" t="str">
        <f>IFERROR(VLOOKUP(B274, estoque!B:D, 3, 0) * C274, "")</f>
        <v/>
      </c>
    </row>
    <row r="275">
      <c r="B275" s="4"/>
      <c r="D275" s="4" t="str">
        <f>IFERROR(VLOOKUP(B275, estoque!B:D, 3, 0) * C275, "")</f>
        <v/>
      </c>
    </row>
    <row r="276">
      <c r="B276" s="4"/>
      <c r="D276" s="4" t="str">
        <f>IFERROR(VLOOKUP(B276, estoque!B:D, 3, 0) * C276, "")</f>
        <v/>
      </c>
    </row>
    <row r="277">
      <c r="B277" s="4"/>
      <c r="D277" s="4" t="str">
        <f>IFERROR(VLOOKUP(B277, estoque!B:D, 3, 0) * C277, "")</f>
        <v/>
      </c>
    </row>
    <row r="278">
      <c r="B278" s="4"/>
      <c r="D278" s="4" t="str">
        <f>IFERROR(VLOOKUP(B278, estoque!B:D, 3, 0) * C278, "")</f>
        <v/>
      </c>
    </row>
    <row r="279">
      <c r="B279" s="4"/>
      <c r="D279" s="4" t="str">
        <f>IFERROR(VLOOKUP(B279, estoque!B:D, 3, 0) * C279, "")</f>
        <v/>
      </c>
    </row>
    <row r="280">
      <c r="B280" s="4"/>
      <c r="D280" s="4" t="str">
        <f>IFERROR(VLOOKUP(B280, estoque!B:D, 3, 0) * C280, "")</f>
        <v/>
      </c>
    </row>
    <row r="281">
      <c r="B281" s="4"/>
      <c r="D281" s="4" t="str">
        <f>IFERROR(VLOOKUP(B281, estoque!B:D, 3, 0) * C281, "")</f>
        <v/>
      </c>
    </row>
    <row r="282">
      <c r="B282" s="4"/>
      <c r="D282" s="4" t="str">
        <f>IFERROR(VLOOKUP(B282, estoque!B:D, 3, 0) * C282, "")</f>
        <v/>
      </c>
    </row>
    <row r="283">
      <c r="B283" s="4"/>
      <c r="D283" s="4" t="str">
        <f>IFERROR(VLOOKUP(B283, estoque!B:D, 3, 0) * C283, "")</f>
        <v/>
      </c>
    </row>
    <row r="284">
      <c r="B284" s="4"/>
      <c r="D284" s="4" t="str">
        <f>IFERROR(VLOOKUP(B284, estoque!B:D, 3, 0) * C284, "")</f>
        <v/>
      </c>
    </row>
    <row r="285">
      <c r="B285" s="4"/>
      <c r="D285" s="4" t="str">
        <f>IFERROR(VLOOKUP(B285, estoque!B:D, 3, 0) * C285, "")</f>
        <v/>
      </c>
    </row>
    <row r="286">
      <c r="B286" s="4"/>
      <c r="D286" s="4" t="str">
        <f>IFERROR(VLOOKUP(B286, estoque!B:D, 3, 0) * C286, "")</f>
        <v/>
      </c>
    </row>
    <row r="287">
      <c r="B287" s="4"/>
      <c r="D287" s="4" t="str">
        <f>IFERROR(VLOOKUP(B287, estoque!B:D, 3, 0) * C287, "")</f>
        <v/>
      </c>
    </row>
    <row r="288">
      <c r="B288" s="4"/>
      <c r="D288" s="4" t="str">
        <f>IFERROR(VLOOKUP(B288, estoque!B:D, 3, 0) * C288, "")</f>
        <v/>
      </c>
    </row>
    <row r="289">
      <c r="B289" s="4"/>
      <c r="D289" s="4" t="str">
        <f>IFERROR(VLOOKUP(B289, estoque!B:D, 3, 0) * C289, "")</f>
        <v/>
      </c>
    </row>
    <row r="290">
      <c r="B290" s="4"/>
      <c r="D290" s="4" t="str">
        <f>IFERROR(VLOOKUP(B290, estoque!B:D, 3, 0) * C290, "")</f>
        <v/>
      </c>
    </row>
    <row r="291">
      <c r="B291" s="4"/>
      <c r="D291" s="4" t="str">
        <f>IFERROR(VLOOKUP(B291, estoque!B:D, 3, 0) * C291, "")</f>
        <v/>
      </c>
    </row>
    <row r="292">
      <c r="B292" s="4"/>
      <c r="D292" s="4" t="str">
        <f>IFERROR(VLOOKUP(B292, estoque!B:D, 3, 0) * C292, "")</f>
        <v/>
      </c>
    </row>
    <row r="293">
      <c r="B293" s="4"/>
      <c r="D293" s="4" t="str">
        <f>IFERROR(VLOOKUP(B293, estoque!B:D, 3, 0) * C293, "")</f>
        <v/>
      </c>
    </row>
    <row r="294">
      <c r="B294" s="4"/>
      <c r="D294" s="4" t="str">
        <f>IFERROR(VLOOKUP(B294, estoque!B:D, 3, 0) * C294, "")</f>
        <v/>
      </c>
    </row>
    <row r="295">
      <c r="B295" s="4"/>
      <c r="D295" s="4" t="str">
        <f>IFERROR(VLOOKUP(B295, estoque!B:D, 3, 0) * C295, "")</f>
        <v/>
      </c>
    </row>
    <row r="296">
      <c r="B296" s="4"/>
      <c r="D296" s="4" t="str">
        <f>IFERROR(VLOOKUP(B296, estoque!B:D, 3, 0) * C296, "")</f>
        <v/>
      </c>
    </row>
    <row r="297">
      <c r="B297" s="4"/>
      <c r="D297" s="4" t="str">
        <f>IFERROR(VLOOKUP(B297, estoque!B:D, 3, 0) * C297, "")</f>
        <v/>
      </c>
    </row>
    <row r="298">
      <c r="B298" s="4"/>
      <c r="D298" s="4" t="str">
        <f>IFERROR(VLOOKUP(B298, estoque!B:D, 3, 0) * C298, "")</f>
        <v/>
      </c>
    </row>
    <row r="299">
      <c r="B299" s="4"/>
      <c r="D299" s="4" t="str">
        <f>IFERROR(VLOOKUP(B299, estoque!B:D, 3, 0) * C299, "")</f>
        <v/>
      </c>
    </row>
    <row r="300">
      <c r="B300" s="4"/>
      <c r="D300" s="4" t="str">
        <f>IFERROR(VLOOKUP(B300, estoque!B:D, 3, 0) * C300, "")</f>
        <v/>
      </c>
    </row>
    <row r="301">
      <c r="B301" s="4"/>
      <c r="D301" s="4" t="str">
        <f>IFERROR(VLOOKUP(B301, estoque!B:D, 3, 0) * C301, "")</f>
        <v/>
      </c>
    </row>
    <row r="302">
      <c r="B302" s="4"/>
      <c r="D302" s="4" t="str">
        <f>IFERROR(VLOOKUP(B302, estoque!B:D, 3, 0) * C302, "")</f>
        <v/>
      </c>
    </row>
    <row r="303">
      <c r="B303" s="4"/>
      <c r="D303" s="4" t="str">
        <f>IFERROR(VLOOKUP(B303, estoque!B:D, 3, 0) * C303, "")</f>
        <v/>
      </c>
    </row>
    <row r="304">
      <c r="B304" s="4"/>
      <c r="D304" s="4" t="str">
        <f>IFERROR(VLOOKUP(B304, estoque!B:D, 3, 0) * C304, "")</f>
        <v/>
      </c>
    </row>
    <row r="305">
      <c r="B305" s="4"/>
      <c r="D305" s="4" t="str">
        <f>IFERROR(VLOOKUP(B305, estoque!B:D, 3, 0) * C305, "")</f>
        <v/>
      </c>
    </row>
    <row r="306">
      <c r="B306" s="4"/>
      <c r="D306" s="4" t="str">
        <f>IFERROR(VLOOKUP(B306, estoque!B:D, 3, 0) * C306, "")</f>
        <v/>
      </c>
    </row>
    <row r="307">
      <c r="B307" s="4"/>
      <c r="D307" s="4" t="str">
        <f>IFERROR(VLOOKUP(B307, estoque!B:D, 3, 0) * C307, "")</f>
        <v/>
      </c>
    </row>
    <row r="308">
      <c r="B308" s="4"/>
      <c r="D308" s="4" t="str">
        <f>IFERROR(VLOOKUP(B308, estoque!B:D, 3, 0) * C308, "")</f>
        <v/>
      </c>
    </row>
    <row r="309">
      <c r="B309" s="4"/>
      <c r="D309" s="4" t="str">
        <f>IFERROR(VLOOKUP(B309, estoque!B:D, 3, 0) * C309, "")</f>
        <v/>
      </c>
    </row>
    <row r="310">
      <c r="B310" s="4"/>
      <c r="D310" s="4" t="str">
        <f>IFERROR(VLOOKUP(B310, estoque!B:D, 3, 0) * C310, "")</f>
        <v/>
      </c>
    </row>
    <row r="311">
      <c r="B311" s="4"/>
      <c r="D311" s="4" t="str">
        <f>IFERROR(VLOOKUP(B311, estoque!B:D, 3, 0) * C311, "")</f>
        <v/>
      </c>
    </row>
    <row r="312">
      <c r="B312" s="4"/>
      <c r="D312" s="4" t="str">
        <f>IFERROR(VLOOKUP(B312, estoque!B:D, 3, 0) * C312, "")</f>
        <v/>
      </c>
    </row>
    <row r="313">
      <c r="B313" s="4"/>
      <c r="D313" s="4" t="str">
        <f>IFERROR(VLOOKUP(B313, estoque!B:D, 3, 0) * C313, "")</f>
        <v/>
      </c>
    </row>
    <row r="314">
      <c r="B314" s="4"/>
      <c r="D314" s="4" t="str">
        <f>IFERROR(VLOOKUP(B314, estoque!B:D, 3, 0) * C314, "")</f>
        <v/>
      </c>
    </row>
    <row r="315">
      <c r="B315" s="4"/>
      <c r="D315" s="4" t="str">
        <f>IFERROR(VLOOKUP(B315, estoque!B:D, 3, 0) * C315, "")</f>
        <v/>
      </c>
    </row>
    <row r="316">
      <c r="B316" s="4"/>
      <c r="D316" s="4" t="str">
        <f>IFERROR(VLOOKUP(B316, estoque!B:D, 3, 0) * C316, "")</f>
        <v/>
      </c>
    </row>
    <row r="317">
      <c r="B317" s="4"/>
      <c r="D317" s="4" t="str">
        <f>IFERROR(VLOOKUP(B317, estoque!B:D, 3, 0) * C317, "")</f>
        <v/>
      </c>
    </row>
    <row r="318">
      <c r="B318" s="4"/>
      <c r="D318" s="4" t="str">
        <f>IFERROR(VLOOKUP(B318, estoque!B:D, 3, 0) * C318, "")</f>
        <v/>
      </c>
    </row>
    <row r="319">
      <c r="B319" s="4"/>
      <c r="D319" s="4" t="str">
        <f>IFERROR(VLOOKUP(B319, estoque!B:D, 3, 0) * C319, "")</f>
        <v/>
      </c>
    </row>
    <row r="320">
      <c r="B320" s="4"/>
      <c r="D320" s="4" t="str">
        <f>IFERROR(VLOOKUP(B320, estoque!B:D, 3, 0) * C320, "")</f>
        <v/>
      </c>
    </row>
    <row r="321">
      <c r="B321" s="4"/>
      <c r="D321" s="4" t="str">
        <f>IFERROR(VLOOKUP(B321, estoque!B:D, 3, 0) * C321, "")</f>
        <v/>
      </c>
    </row>
    <row r="322">
      <c r="B322" s="4"/>
      <c r="D322" s="4" t="str">
        <f>IFERROR(VLOOKUP(B322, estoque!B:D, 3, 0) * C322, "")</f>
        <v/>
      </c>
    </row>
    <row r="323">
      <c r="B323" s="4"/>
      <c r="D323" s="4" t="str">
        <f>IFERROR(VLOOKUP(B323, estoque!B:D, 3, 0) * C323, "")</f>
        <v/>
      </c>
    </row>
    <row r="324">
      <c r="B324" s="4"/>
      <c r="D324" s="4" t="str">
        <f>IFERROR(VLOOKUP(B324, estoque!B:D, 3, 0) * C324, "")</f>
        <v/>
      </c>
    </row>
    <row r="325">
      <c r="B325" s="4"/>
      <c r="D325" s="4" t="str">
        <f>IFERROR(VLOOKUP(B325, estoque!B:D, 3, 0) * C325, "")</f>
        <v/>
      </c>
    </row>
    <row r="326">
      <c r="B326" s="4"/>
      <c r="D326" s="4" t="str">
        <f>IFERROR(VLOOKUP(B326, estoque!B:D, 3, 0) * C326, "")</f>
        <v/>
      </c>
    </row>
    <row r="327">
      <c r="B327" s="4"/>
      <c r="D327" s="4" t="str">
        <f>IFERROR(VLOOKUP(B327, estoque!B:D, 3, 0) * C327, "")</f>
        <v/>
      </c>
    </row>
    <row r="328">
      <c r="B328" s="4"/>
      <c r="D328" s="4" t="str">
        <f>IFERROR(VLOOKUP(B328, estoque!B:D, 3, 0) * C328, "")</f>
        <v/>
      </c>
    </row>
    <row r="329">
      <c r="B329" s="4"/>
      <c r="D329" s="4" t="str">
        <f>IFERROR(VLOOKUP(B329, estoque!B:D, 3, 0) * C329, "")</f>
        <v/>
      </c>
    </row>
    <row r="330">
      <c r="B330" s="4"/>
      <c r="D330" s="4" t="str">
        <f>IFERROR(VLOOKUP(B330, estoque!B:D, 3, 0) * C330, "")</f>
        <v/>
      </c>
    </row>
    <row r="331">
      <c r="B331" s="4"/>
      <c r="D331" s="4" t="str">
        <f>IFERROR(VLOOKUP(B331, estoque!B:D, 3, 0) * C331, "")</f>
        <v/>
      </c>
    </row>
    <row r="332">
      <c r="B332" s="4"/>
      <c r="D332" s="4" t="str">
        <f>IFERROR(VLOOKUP(B332, estoque!B:D, 3, 0) * C332, "")</f>
        <v/>
      </c>
    </row>
    <row r="333">
      <c r="B333" s="4"/>
      <c r="D333" s="4" t="str">
        <f>IFERROR(VLOOKUP(B333, estoque!B:D, 3, 0) * C333, "")</f>
        <v/>
      </c>
    </row>
    <row r="334">
      <c r="B334" s="4"/>
      <c r="D334" s="4" t="str">
        <f>IFERROR(VLOOKUP(B334, estoque!B:D, 3, 0) * C334, "")</f>
        <v/>
      </c>
    </row>
    <row r="335">
      <c r="B335" s="4"/>
      <c r="D335" s="4" t="str">
        <f>IFERROR(VLOOKUP(B335, estoque!B:D, 3, 0) * C335, "")</f>
        <v/>
      </c>
    </row>
    <row r="336">
      <c r="B336" s="4"/>
      <c r="D336" s="4" t="str">
        <f>IFERROR(VLOOKUP(B336, estoque!B:D, 3, 0) * C336, "")</f>
        <v/>
      </c>
    </row>
    <row r="337">
      <c r="B337" s="4"/>
      <c r="D337" s="4" t="str">
        <f>IFERROR(VLOOKUP(B337, estoque!B:D, 3, 0) * C337, "")</f>
        <v/>
      </c>
    </row>
    <row r="338">
      <c r="B338" s="4"/>
      <c r="D338" s="4" t="str">
        <f>IFERROR(VLOOKUP(B338, estoque!B:D, 3, 0) * C338, "")</f>
        <v/>
      </c>
    </row>
    <row r="339">
      <c r="B339" s="4"/>
      <c r="D339" s="4" t="str">
        <f>IFERROR(VLOOKUP(B339, estoque!B:D, 3, 0) * C339, "")</f>
        <v/>
      </c>
    </row>
    <row r="340">
      <c r="B340" s="4"/>
      <c r="D340" s="4" t="str">
        <f>IFERROR(VLOOKUP(B340, estoque!B:D, 3, 0) * C340, "")</f>
        <v/>
      </c>
    </row>
    <row r="341">
      <c r="B341" s="4"/>
      <c r="D341" s="4" t="str">
        <f>IFERROR(VLOOKUP(B341, estoque!B:D, 3, 0) * C341, "")</f>
        <v/>
      </c>
    </row>
    <row r="342">
      <c r="B342" s="4"/>
      <c r="D342" s="4" t="str">
        <f>IFERROR(VLOOKUP(B342, estoque!B:D, 3, 0) * C342, "")</f>
        <v/>
      </c>
    </row>
    <row r="343">
      <c r="B343" s="4"/>
      <c r="D343" s="4" t="str">
        <f>IFERROR(VLOOKUP(B343, estoque!B:D, 3, 0) * C343, "")</f>
        <v/>
      </c>
    </row>
    <row r="344">
      <c r="B344" s="4"/>
      <c r="D344" s="4" t="str">
        <f>IFERROR(VLOOKUP(B344, estoque!B:D, 3, 0) * C344, "")</f>
        <v/>
      </c>
    </row>
    <row r="345">
      <c r="B345" s="4"/>
      <c r="D345" s="4" t="str">
        <f>IFERROR(VLOOKUP(B345, estoque!B:D, 3, 0) * C345, "")</f>
        <v/>
      </c>
    </row>
    <row r="346">
      <c r="B346" s="4"/>
      <c r="D346" s="4" t="str">
        <f>IFERROR(VLOOKUP(B346, estoque!B:D, 3, 0) * C346, "")</f>
        <v/>
      </c>
    </row>
    <row r="347">
      <c r="B347" s="4"/>
      <c r="D347" s="4" t="str">
        <f>IFERROR(VLOOKUP(B347, estoque!B:D, 3, 0) * C347, "")</f>
        <v/>
      </c>
    </row>
    <row r="348">
      <c r="B348" s="4"/>
      <c r="D348" s="4" t="str">
        <f>IFERROR(VLOOKUP(B348, estoque!B:D, 3, 0) * C348, "")</f>
        <v/>
      </c>
    </row>
    <row r="349">
      <c r="B349" s="4"/>
      <c r="D349" s="4" t="str">
        <f>IFERROR(VLOOKUP(B349, estoque!B:D, 3, 0) * C349, "")</f>
        <v/>
      </c>
    </row>
    <row r="350">
      <c r="B350" s="4"/>
      <c r="D350" s="4" t="str">
        <f>IFERROR(VLOOKUP(B350, estoque!B:D, 3, 0) * C350, "")</f>
        <v/>
      </c>
    </row>
    <row r="351">
      <c r="B351" s="4"/>
      <c r="D351" s="4" t="str">
        <f>IFERROR(VLOOKUP(B351, estoque!B:D, 3, 0) * C351, "")</f>
        <v/>
      </c>
    </row>
    <row r="352">
      <c r="B352" s="4"/>
      <c r="D352" s="4" t="str">
        <f>IFERROR(VLOOKUP(B352, estoque!B:D, 3, 0) * C352, "")</f>
        <v/>
      </c>
    </row>
    <row r="353">
      <c r="B353" s="4"/>
      <c r="D353" s="4" t="str">
        <f>IFERROR(VLOOKUP(B353, estoque!B:D, 3, 0) * C353, "")</f>
        <v/>
      </c>
    </row>
    <row r="354">
      <c r="B354" s="4"/>
      <c r="D354" s="4" t="str">
        <f>IFERROR(VLOOKUP(B354, estoque!B:D, 3, 0) * C354, "")</f>
        <v/>
      </c>
    </row>
    <row r="355">
      <c r="B355" s="4"/>
      <c r="D355" s="4" t="str">
        <f>IFERROR(VLOOKUP(B355, estoque!B:D, 3, 0) * C355, "")</f>
        <v/>
      </c>
    </row>
    <row r="356">
      <c r="B356" s="4"/>
      <c r="D356" s="4" t="str">
        <f>IFERROR(VLOOKUP(B356, estoque!B:D, 3, 0) * C356, "")</f>
        <v/>
      </c>
    </row>
    <row r="357">
      <c r="B357" s="4"/>
      <c r="D357" s="4" t="str">
        <f>IFERROR(VLOOKUP(B357, estoque!B:D, 3, 0) * C357, "")</f>
        <v/>
      </c>
    </row>
    <row r="358">
      <c r="B358" s="4"/>
      <c r="D358" s="4" t="str">
        <f>IFERROR(VLOOKUP(B358, estoque!B:D, 3, 0) * C358, "")</f>
        <v/>
      </c>
    </row>
    <row r="359">
      <c r="B359" s="4"/>
      <c r="D359" s="4" t="str">
        <f>IFERROR(VLOOKUP(B359, estoque!B:D, 3, 0) * C359, "")</f>
        <v/>
      </c>
    </row>
    <row r="360">
      <c r="B360" s="4"/>
      <c r="D360" s="4" t="str">
        <f>IFERROR(VLOOKUP(B360, estoque!B:D, 3, 0) * C360, "")</f>
        <v/>
      </c>
    </row>
    <row r="361">
      <c r="B361" s="4"/>
      <c r="D361" s="4" t="str">
        <f>IFERROR(VLOOKUP(B361, estoque!B:D, 3, 0) * C361, "")</f>
        <v/>
      </c>
    </row>
    <row r="362">
      <c r="B362" s="4"/>
      <c r="D362" s="4" t="str">
        <f>IFERROR(VLOOKUP(B362, estoque!B:D, 3, 0) * C362, "")</f>
        <v/>
      </c>
    </row>
    <row r="363">
      <c r="B363" s="4"/>
      <c r="D363" s="4" t="str">
        <f>IFERROR(VLOOKUP(B363, estoque!B:D, 3, 0) * C363, "")</f>
        <v/>
      </c>
    </row>
    <row r="364">
      <c r="B364" s="4"/>
      <c r="D364" s="4" t="str">
        <f>IFERROR(VLOOKUP(B364, estoque!B:D, 3, 0) * C364, "")</f>
        <v/>
      </c>
    </row>
    <row r="365">
      <c r="B365" s="4"/>
      <c r="D365" s="4" t="str">
        <f>IFERROR(VLOOKUP(B365, estoque!B:D, 3, 0) * C365, "")</f>
        <v/>
      </c>
    </row>
    <row r="366">
      <c r="B366" s="4"/>
      <c r="D366" s="4" t="str">
        <f>IFERROR(VLOOKUP(B366, estoque!B:D, 3, 0) * C366, "")</f>
        <v/>
      </c>
    </row>
    <row r="367">
      <c r="B367" s="4"/>
      <c r="D367" s="4" t="str">
        <f>IFERROR(VLOOKUP(B367, estoque!B:D, 3, 0) * C367, "")</f>
        <v/>
      </c>
    </row>
    <row r="368">
      <c r="B368" s="4"/>
      <c r="D368" s="4" t="str">
        <f>IFERROR(VLOOKUP(B368, estoque!B:D, 3, 0) * C368, "")</f>
        <v/>
      </c>
    </row>
    <row r="369">
      <c r="B369" s="4"/>
      <c r="D369" s="4" t="str">
        <f>IFERROR(VLOOKUP(B369, estoque!B:D, 3, 0) * C369, "")</f>
        <v/>
      </c>
    </row>
    <row r="370">
      <c r="B370" s="4"/>
      <c r="D370" s="4" t="str">
        <f>IFERROR(VLOOKUP(B370, estoque!B:D, 3, 0) * C370, "")</f>
        <v/>
      </c>
    </row>
    <row r="371">
      <c r="B371" s="4"/>
      <c r="D371" s="4" t="str">
        <f>IFERROR(VLOOKUP(B371, estoque!B:D, 3, 0) * C371, "")</f>
        <v/>
      </c>
    </row>
    <row r="372">
      <c r="B372" s="4"/>
      <c r="D372" s="4" t="str">
        <f>IFERROR(VLOOKUP(B372, estoque!B:D, 3, 0) * C372, "")</f>
        <v/>
      </c>
    </row>
    <row r="373">
      <c r="B373" s="4"/>
      <c r="D373" s="4" t="str">
        <f>IFERROR(VLOOKUP(B373, estoque!B:D, 3, 0) * C373, "")</f>
        <v/>
      </c>
    </row>
    <row r="374">
      <c r="B374" s="4"/>
      <c r="D374" s="4" t="str">
        <f>IFERROR(VLOOKUP(B374, estoque!B:D, 3, 0) * C374, "")</f>
        <v/>
      </c>
    </row>
    <row r="375">
      <c r="B375" s="4"/>
      <c r="D375" s="4" t="str">
        <f>IFERROR(VLOOKUP(B375, estoque!B:D, 3, 0) * C375, "")</f>
        <v/>
      </c>
    </row>
    <row r="376">
      <c r="B376" s="4"/>
      <c r="D376" s="4" t="str">
        <f>IFERROR(VLOOKUP(B376, estoque!B:D, 3, 0) * C376, "")</f>
        <v/>
      </c>
    </row>
    <row r="377">
      <c r="B377" s="4"/>
      <c r="D377" s="4" t="str">
        <f>IFERROR(VLOOKUP(B377, estoque!B:D, 3, 0) * C377, "")</f>
        <v/>
      </c>
    </row>
    <row r="378">
      <c r="B378" s="4"/>
      <c r="D378" s="4" t="str">
        <f>IFERROR(VLOOKUP(B378, estoque!B:D, 3, 0) * C378, "")</f>
        <v/>
      </c>
    </row>
    <row r="379">
      <c r="B379" s="4"/>
      <c r="D379" s="4" t="str">
        <f>IFERROR(VLOOKUP(B379, estoque!B:D, 3, 0) * C379, "")</f>
        <v/>
      </c>
    </row>
    <row r="380">
      <c r="B380" s="4"/>
      <c r="D380" s="4" t="str">
        <f>IFERROR(VLOOKUP(B380, estoque!B:D, 3, 0) * C380, "")</f>
        <v/>
      </c>
    </row>
    <row r="381">
      <c r="B381" s="4"/>
      <c r="D381" s="4" t="str">
        <f>IFERROR(VLOOKUP(B381, estoque!B:D, 3, 0) * C381, "")</f>
        <v/>
      </c>
    </row>
    <row r="382">
      <c r="B382" s="4"/>
      <c r="D382" s="4" t="str">
        <f>IFERROR(VLOOKUP(B382, estoque!B:D, 3, 0) * C382, "")</f>
        <v/>
      </c>
    </row>
    <row r="383">
      <c r="B383" s="4"/>
      <c r="D383" s="4" t="str">
        <f>IFERROR(VLOOKUP(B383, estoque!B:D, 3, 0) * C383, "")</f>
        <v/>
      </c>
    </row>
    <row r="384">
      <c r="B384" s="4"/>
      <c r="D384" s="4" t="str">
        <f>IFERROR(VLOOKUP(B384, estoque!B:D, 3, 0) * C384, "")</f>
        <v/>
      </c>
    </row>
    <row r="385">
      <c r="B385" s="4"/>
      <c r="D385" s="4" t="str">
        <f>IFERROR(VLOOKUP(B385, estoque!B:D, 3, 0) * C385, "")</f>
        <v/>
      </c>
    </row>
    <row r="386">
      <c r="B386" s="4"/>
      <c r="D386" s="4" t="str">
        <f>IFERROR(VLOOKUP(B386, estoque!B:D, 3, 0) * C386, "")</f>
        <v/>
      </c>
    </row>
    <row r="387">
      <c r="B387" s="4"/>
      <c r="D387" s="4" t="str">
        <f>IFERROR(VLOOKUP(B387, estoque!B:D, 3, 0) * C387, "")</f>
        <v/>
      </c>
    </row>
    <row r="388">
      <c r="B388" s="4"/>
      <c r="D388" s="4" t="str">
        <f>IFERROR(VLOOKUP(B388, estoque!B:D, 3, 0) * C388, "")</f>
        <v/>
      </c>
    </row>
    <row r="389">
      <c r="B389" s="4"/>
      <c r="D389" s="4" t="str">
        <f>IFERROR(VLOOKUP(B389, estoque!B:D, 3, 0) * C389, "")</f>
        <v/>
      </c>
    </row>
    <row r="390">
      <c r="B390" s="4"/>
      <c r="D390" s="4" t="str">
        <f>IFERROR(VLOOKUP(B390, estoque!B:D, 3, 0) * C390, "")</f>
        <v/>
      </c>
    </row>
    <row r="391">
      <c r="B391" s="4"/>
      <c r="D391" s="4" t="str">
        <f>IFERROR(VLOOKUP(B391, estoque!B:D, 3, 0) * C391, "")</f>
        <v/>
      </c>
    </row>
    <row r="392">
      <c r="B392" s="4"/>
      <c r="D392" s="4" t="str">
        <f>IFERROR(VLOOKUP(B392, estoque!B:D, 3, 0) * C392, "")</f>
        <v/>
      </c>
    </row>
    <row r="393">
      <c r="B393" s="4"/>
      <c r="D393" s="4" t="str">
        <f>IFERROR(VLOOKUP(B393, estoque!B:D, 3, 0) * C393, "")</f>
        <v/>
      </c>
    </row>
    <row r="394">
      <c r="B394" s="4"/>
      <c r="D394" s="4" t="str">
        <f>IFERROR(VLOOKUP(B394, estoque!B:D, 3, 0) * C394, "")</f>
        <v/>
      </c>
    </row>
    <row r="395">
      <c r="B395" s="4"/>
      <c r="D395" s="4" t="str">
        <f>IFERROR(VLOOKUP(B395, estoque!B:D, 3, 0) * C395, "")</f>
        <v/>
      </c>
    </row>
    <row r="396">
      <c r="B396" s="4"/>
      <c r="D396" s="4" t="str">
        <f>IFERROR(VLOOKUP(B396, estoque!B:D, 3, 0) * C396, "")</f>
        <v/>
      </c>
    </row>
    <row r="397">
      <c r="B397" s="4"/>
      <c r="D397" s="4" t="str">
        <f>IFERROR(VLOOKUP(B397, estoque!B:D, 3, 0) * C397, "")</f>
        <v/>
      </c>
    </row>
    <row r="398">
      <c r="B398" s="4"/>
      <c r="D398" s="4" t="str">
        <f>IFERROR(VLOOKUP(B398, estoque!B:D, 3, 0) * C398, "")</f>
        <v/>
      </c>
    </row>
    <row r="399">
      <c r="B399" s="4"/>
      <c r="D399" s="4" t="str">
        <f>IFERROR(VLOOKUP(B399, estoque!B:D, 3, 0) * C399, "")</f>
        <v/>
      </c>
    </row>
    <row r="400">
      <c r="B400" s="4"/>
      <c r="D400" s="4" t="str">
        <f>IFERROR(VLOOKUP(B400, estoque!B:D, 3, 0) * C400, "")</f>
        <v/>
      </c>
    </row>
    <row r="401">
      <c r="B401" s="4"/>
      <c r="D401" s="4" t="str">
        <f>IFERROR(VLOOKUP(B401, estoque!B:D, 3, 0) * C401, "")</f>
        <v/>
      </c>
    </row>
    <row r="402">
      <c r="B402" s="4"/>
      <c r="D402" s="4" t="str">
        <f>IFERROR(VLOOKUP(B402, estoque!B:D, 3, 0) * C402, "")</f>
        <v/>
      </c>
    </row>
    <row r="403">
      <c r="B403" s="4"/>
      <c r="D403" s="4" t="str">
        <f>IFERROR(VLOOKUP(B403, estoque!B:D, 3, 0) * C403, "")</f>
        <v/>
      </c>
    </row>
    <row r="404">
      <c r="B404" s="4"/>
      <c r="D404" s="4" t="str">
        <f>IFERROR(VLOOKUP(B404, estoque!B:D, 3, 0) * C404, "")</f>
        <v/>
      </c>
    </row>
    <row r="405">
      <c r="B405" s="4"/>
      <c r="D405" s="4" t="str">
        <f>IFERROR(VLOOKUP(B405, estoque!B:D, 3, 0) * C405, "")</f>
        <v/>
      </c>
    </row>
    <row r="406">
      <c r="B406" s="4"/>
      <c r="D406" s="4" t="str">
        <f>IFERROR(VLOOKUP(B406, estoque!B:D, 3, 0) * C406, "")</f>
        <v/>
      </c>
    </row>
    <row r="407">
      <c r="B407" s="4"/>
      <c r="D407" s="4" t="str">
        <f>IFERROR(VLOOKUP(B407, estoque!B:D, 3, 0) * C407, "")</f>
        <v/>
      </c>
    </row>
    <row r="408">
      <c r="B408" s="4"/>
      <c r="D408" s="4" t="str">
        <f>IFERROR(VLOOKUP(B408, estoque!B:D, 3, 0) * C408, "")</f>
        <v/>
      </c>
    </row>
    <row r="409">
      <c r="B409" s="4"/>
      <c r="D409" s="4" t="str">
        <f>IFERROR(VLOOKUP(B409, estoque!B:D, 3, 0) * C409, "")</f>
        <v/>
      </c>
    </row>
    <row r="410">
      <c r="B410" s="4"/>
      <c r="D410" s="4" t="str">
        <f>IFERROR(VLOOKUP(B410, estoque!B:D, 3, 0) * C410, "")</f>
        <v/>
      </c>
    </row>
    <row r="411">
      <c r="B411" s="4"/>
      <c r="D411" s="4" t="str">
        <f>IFERROR(VLOOKUP(B411, estoque!B:D, 3, 0) * C411, "")</f>
        <v/>
      </c>
    </row>
    <row r="412">
      <c r="B412" s="4"/>
      <c r="D412" s="4" t="str">
        <f>IFERROR(VLOOKUP(B412, estoque!B:D, 3, 0) * C412, "")</f>
        <v/>
      </c>
    </row>
    <row r="413">
      <c r="B413" s="4"/>
      <c r="D413" s="4" t="str">
        <f>IFERROR(VLOOKUP(B413, estoque!B:D, 3, 0) * C413, "")</f>
        <v/>
      </c>
    </row>
    <row r="414">
      <c r="B414" s="4"/>
      <c r="D414" s="4" t="str">
        <f>IFERROR(VLOOKUP(B414, estoque!B:D, 3, 0) * C414, "")</f>
        <v/>
      </c>
    </row>
    <row r="415">
      <c r="B415" s="4"/>
      <c r="D415" s="4" t="str">
        <f>IFERROR(VLOOKUP(B415, estoque!B:D, 3, 0) * C415, "")</f>
        <v/>
      </c>
    </row>
    <row r="416">
      <c r="B416" s="4"/>
      <c r="D416" s="4" t="str">
        <f>IFERROR(VLOOKUP(B416, estoque!B:D, 3, 0) * C416, "")</f>
        <v/>
      </c>
    </row>
    <row r="417">
      <c r="B417" s="4"/>
      <c r="D417" s="4" t="str">
        <f>IFERROR(VLOOKUP(B417, estoque!B:D, 3, 0) * C417, "")</f>
        <v/>
      </c>
    </row>
    <row r="418">
      <c r="B418" s="4"/>
      <c r="D418" s="4" t="str">
        <f>IFERROR(VLOOKUP(B418, estoque!B:D, 3, 0) * C418, "")</f>
        <v/>
      </c>
    </row>
    <row r="419">
      <c r="B419" s="4"/>
      <c r="D419" s="4" t="str">
        <f>IFERROR(VLOOKUP(B419, estoque!B:D, 3, 0) * C419, "")</f>
        <v/>
      </c>
    </row>
    <row r="420">
      <c r="B420" s="4"/>
      <c r="D420" s="4" t="str">
        <f>IFERROR(VLOOKUP(B420, estoque!B:D, 3, 0) * C420, "")</f>
        <v/>
      </c>
    </row>
    <row r="421">
      <c r="B421" s="4"/>
      <c r="D421" s="4" t="str">
        <f>IFERROR(VLOOKUP(B421, estoque!B:D, 3, 0) * C421, "")</f>
        <v/>
      </c>
    </row>
    <row r="422">
      <c r="B422" s="4"/>
      <c r="D422" s="4" t="str">
        <f>IFERROR(VLOOKUP(B422, estoque!B:D, 3, 0) * C422, "")</f>
        <v/>
      </c>
    </row>
    <row r="423">
      <c r="B423" s="4"/>
      <c r="D423" s="4" t="str">
        <f>IFERROR(VLOOKUP(B423, estoque!B:D, 3, 0) * C423, "")</f>
        <v/>
      </c>
    </row>
    <row r="424">
      <c r="B424" s="4"/>
      <c r="D424" s="4" t="str">
        <f>IFERROR(VLOOKUP(B424, estoque!B:D, 3, 0) * C424, "")</f>
        <v/>
      </c>
    </row>
    <row r="425">
      <c r="B425" s="4"/>
      <c r="D425" s="4" t="str">
        <f>IFERROR(VLOOKUP(B425, estoque!B:D, 3, 0) * C425, "")</f>
        <v/>
      </c>
    </row>
    <row r="426">
      <c r="B426" s="4"/>
      <c r="D426" s="4" t="str">
        <f>IFERROR(VLOOKUP(B426, estoque!B:D, 3, 0) * C426, "")</f>
        <v/>
      </c>
    </row>
    <row r="427">
      <c r="B427" s="4"/>
      <c r="D427" s="4" t="str">
        <f>IFERROR(VLOOKUP(B427, estoque!B:D, 3, 0) * C427, "")</f>
        <v/>
      </c>
    </row>
    <row r="428">
      <c r="B428" s="4"/>
      <c r="D428" s="4" t="str">
        <f>IFERROR(VLOOKUP(B428, estoque!B:D, 3, 0) * C428, "")</f>
        <v/>
      </c>
    </row>
    <row r="429">
      <c r="B429" s="4"/>
      <c r="D429" s="4" t="str">
        <f>IFERROR(VLOOKUP(B429, estoque!B:D, 3, 0) * C429, "")</f>
        <v/>
      </c>
    </row>
    <row r="430">
      <c r="B430" s="4"/>
      <c r="D430" s="4" t="str">
        <f>IFERROR(VLOOKUP(B430, estoque!B:D, 3, 0) * C430, "")</f>
        <v/>
      </c>
    </row>
    <row r="431">
      <c r="B431" s="4"/>
      <c r="D431" s="4" t="str">
        <f>IFERROR(VLOOKUP(B431, estoque!B:D, 3, 0) * C431, "")</f>
        <v/>
      </c>
    </row>
    <row r="432">
      <c r="B432" s="4"/>
      <c r="D432" s="4" t="str">
        <f>IFERROR(VLOOKUP(B432, estoque!B:D, 3, 0) * C432, "")</f>
        <v/>
      </c>
    </row>
    <row r="433">
      <c r="B433" s="4"/>
      <c r="D433" s="4" t="str">
        <f>IFERROR(VLOOKUP(B433, estoque!B:D, 3, 0) * C433, "")</f>
        <v/>
      </c>
    </row>
    <row r="434">
      <c r="B434" s="4"/>
      <c r="D434" s="4" t="str">
        <f>IFERROR(VLOOKUP(B434, estoque!B:D, 3, 0) * C434, "")</f>
        <v/>
      </c>
    </row>
    <row r="435">
      <c r="B435" s="4"/>
      <c r="D435" s="4" t="str">
        <f>IFERROR(VLOOKUP(B435, estoque!B:D, 3, 0) * C435, "")</f>
        <v/>
      </c>
    </row>
    <row r="436">
      <c r="B436" s="4"/>
      <c r="D436" s="4" t="str">
        <f>IFERROR(VLOOKUP(B436, estoque!B:D, 3, 0) * C436, "")</f>
        <v/>
      </c>
    </row>
    <row r="437">
      <c r="B437" s="4"/>
      <c r="D437" s="4" t="str">
        <f>IFERROR(VLOOKUP(B437, estoque!B:D, 3, 0) * C437, "")</f>
        <v/>
      </c>
    </row>
    <row r="438">
      <c r="B438" s="4"/>
      <c r="D438" s="4" t="str">
        <f>IFERROR(VLOOKUP(B438, estoque!B:D, 3, 0) * C438, "")</f>
        <v/>
      </c>
    </row>
    <row r="439">
      <c r="B439" s="4"/>
      <c r="D439" s="4" t="str">
        <f>IFERROR(VLOOKUP(B439, estoque!B:D, 3, 0) * C439, "")</f>
        <v/>
      </c>
    </row>
    <row r="440">
      <c r="B440" s="4"/>
      <c r="D440" s="4" t="str">
        <f>IFERROR(VLOOKUP(B440, estoque!B:D, 3, 0) * C440, "")</f>
        <v/>
      </c>
    </row>
    <row r="441">
      <c r="B441" s="4"/>
      <c r="D441" s="4" t="str">
        <f>IFERROR(VLOOKUP(B441, estoque!B:D, 3, 0) * C441, "")</f>
        <v/>
      </c>
    </row>
    <row r="442">
      <c r="B442" s="4"/>
      <c r="D442" s="4" t="str">
        <f>IFERROR(VLOOKUP(B442, estoque!B:D, 3, 0) * C442, "")</f>
        <v/>
      </c>
    </row>
    <row r="443">
      <c r="B443" s="4"/>
      <c r="D443" s="4" t="str">
        <f>IFERROR(VLOOKUP(B443, estoque!B:D, 3, 0) * C443, "")</f>
        <v/>
      </c>
    </row>
    <row r="444">
      <c r="B444" s="4"/>
      <c r="D444" s="4" t="str">
        <f>IFERROR(VLOOKUP(B444, estoque!B:D, 3, 0) * C444, "")</f>
        <v/>
      </c>
    </row>
    <row r="445">
      <c r="B445" s="4"/>
      <c r="D445" s="4" t="str">
        <f>IFERROR(VLOOKUP(B445, estoque!B:D, 3, 0) * C445, "")</f>
        <v/>
      </c>
    </row>
    <row r="446">
      <c r="B446" s="4"/>
      <c r="D446" s="4" t="str">
        <f>IFERROR(VLOOKUP(B446, estoque!B:D, 3, 0) * C446, "")</f>
        <v/>
      </c>
    </row>
    <row r="447">
      <c r="B447" s="4"/>
      <c r="D447" s="4" t="str">
        <f>IFERROR(VLOOKUP(B447, estoque!B:D, 3, 0) * C447, "")</f>
        <v/>
      </c>
    </row>
    <row r="448">
      <c r="B448" s="4"/>
      <c r="D448" s="4" t="str">
        <f>IFERROR(VLOOKUP(B448, estoque!B:D, 3, 0) * C448, "")</f>
        <v/>
      </c>
    </row>
    <row r="449">
      <c r="B449" s="4"/>
      <c r="D449" s="4" t="str">
        <f>IFERROR(VLOOKUP(B449, estoque!B:D, 3, 0) * C449, "")</f>
        <v/>
      </c>
    </row>
    <row r="450">
      <c r="B450" s="4"/>
      <c r="D450" s="4" t="str">
        <f>IFERROR(VLOOKUP(B450, estoque!B:D, 3, 0) * C450, "")</f>
        <v/>
      </c>
    </row>
    <row r="451">
      <c r="B451" s="4"/>
      <c r="D451" s="4" t="str">
        <f>IFERROR(VLOOKUP(B451, estoque!B:D, 3, 0) * C451, "")</f>
        <v/>
      </c>
    </row>
    <row r="452">
      <c r="B452" s="4"/>
      <c r="D452" s="4" t="str">
        <f>IFERROR(VLOOKUP(B452, estoque!B:D, 3, 0) * C452, "")</f>
        <v/>
      </c>
    </row>
    <row r="453">
      <c r="B453" s="4"/>
      <c r="D453" s="4" t="str">
        <f>IFERROR(VLOOKUP(B453, estoque!B:D, 3, 0) * C453, "")</f>
        <v/>
      </c>
    </row>
    <row r="454">
      <c r="B454" s="4"/>
      <c r="D454" s="4" t="str">
        <f>IFERROR(VLOOKUP(B454, estoque!B:D, 3, 0) * C454, "")</f>
        <v/>
      </c>
    </row>
    <row r="455">
      <c r="B455" s="4"/>
      <c r="D455" s="4" t="str">
        <f>IFERROR(VLOOKUP(B455, estoque!B:D, 3, 0) * C455, "")</f>
        <v/>
      </c>
    </row>
    <row r="456">
      <c r="B456" s="4"/>
      <c r="D456" s="4" t="str">
        <f>IFERROR(VLOOKUP(B456, estoque!B:D, 3, 0) * C456, "")</f>
        <v/>
      </c>
    </row>
    <row r="457">
      <c r="B457" s="4"/>
      <c r="D457" s="4" t="str">
        <f>IFERROR(VLOOKUP(B457, estoque!B:D, 3, 0) * C457, "")</f>
        <v/>
      </c>
    </row>
    <row r="458">
      <c r="B458" s="4"/>
      <c r="D458" s="4" t="str">
        <f>IFERROR(VLOOKUP(B458, estoque!B:D, 3, 0) * C458, "")</f>
        <v/>
      </c>
    </row>
    <row r="459">
      <c r="B459" s="4"/>
      <c r="D459" s="4" t="str">
        <f>IFERROR(VLOOKUP(B459, estoque!B:D, 3, 0) * C459, "")</f>
        <v/>
      </c>
    </row>
    <row r="460">
      <c r="B460" s="4"/>
      <c r="D460" s="4" t="str">
        <f>IFERROR(VLOOKUP(B460, estoque!B:D, 3, 0) * C460, "")</f>
        <v/>
      </c>
    </row>
    <row r="461">
      <c r="B461" s="4"/>
      <c r="D461" s="4" t="str">
        <f>IFERROR(VLOOKUP(B461, estoque!B:D, 3, 0) * C461, "")</f>
        <v/>
      </c>
    </row>
    <row r="462">
      <c r="B462" s="4"/>
      <c r="D462" s="4" t="str">
        <f>IFERROR(VLOOKUP(B462, estoque!B:D, 3, 0) * C462, "")</f>
        <v/>
      </c>
    </row>
    <row r="463">
      <c r="B463" s="4"/>
      <c r="D463" s="4" t="str">
        <f>IFERROR(VLOOKUP(B463, estoque!B:D, 3, 0) * C463, "")</f>
        <v/>
      </c>
    </row>
    <row r="464">
      <c r="B464" s="4"/>
      <c r="D464" s="4" t="str">
        <f>IFERROR(VLOOKUP(B464, estoque!B:D, 3, 0) * C464, "")</f>
        <v/>
      </c>
    </row>
    <row r="465">
      <c r="B465" s="4"/>
      <c r="D465" s="4" t="str">
        <f>IFERROR(VLOOKUP(B465, estoque!B:D, 3, 0) * C465, "")</f>
        <v/>
      </c>
    </row>
    <row r="466">
      <c r="B466" s="4"/>
      <c r="D466" s="4" t="str">
        <f>IFERROR(VLOOKUP(B466, estoque!B:D, 3, 0) * C466, "")</f>
        <v/>
      </c>
    </row>
    <row r="467">
      <c r="B467" s="4"/>
      <c r="D467" s="4" t="str">
        <f>IFERROR(VLOOKUP(B467, estoque!B:D, 3, 0) * C467, "")</f>
        <v/>
      </c>
    </row>
    <row r="468">
      <c r="B468" s="4"/>
      <c r="D468" s="4" t="str">
        <f>IFERROR(VLOOKUP(B468, estoque!B:D, 3, 0) * C468, "")</f>
        <v/>
      </c>
    </row>
    <row r="469">
      <c r="B469" s="4"/>
      <c r="D469" s="4" t="str">
        <f>IFERROR(VLOOKUP(B469, estoque!B:D, 3, 0) * C469, "")</f>
        <v/>
      </c>
    </row>
    <row r="470">
      <c r="B470" s="4"/>
      <c r="D470" s="4" t="str">
        <f>IFERROR(VLOOKUP(B470, estoque!B:D, 3, 0) * C470, "")</f>
        <v/>
      </c>
    </row>
    <row r="471">
      <c r="B471" s="4"/>
      <c r="D471" s="4" t="str">
        <f>IFERROR(VLOOKUP(B471, estoque!B:D, 3, 0) * C471, "")</f>
        <v/>
      </c>
    </row>
    <row r="472">
      <c r="B472" s="4"/>
      <c r="D472" s="4" t="str">
        <f>IFERROR(VLOOKUP(B472, estoque!B:D, 3, 0) * C472, "")</f>
        <v/>
      </c>
    </row>
    <row r="473">
      <c r="B473" s="4"/>
      <c r="D473" s="4" t="str">
        <f>IFERROR(VLOOKUP(B473, estoque!B:D, 3, 0) * C473, "")</f>
        <v/>
      </c>
    </row>
    <row r="474">
      <c r="B474" s="4"/>
      <c r="D474" s="4" t="str">
        <f>IFERROR(VLOOKUP(B474, estoque!B:D, 3, 0) * C474, "")</f>
        <v/>
      </c>
    </row>
    <row r="475">
      <c r="B475" s="4"/>
      <c r="D475" s="4" t="str">
        <f>IFERROR(VLOOKUP(B475, estoque!B:D, 3, 0) * C475, "")</f>
        <v/>
      </c>
    </row>
    <row r="476">
      <c r="B476" s="4"/>
      <c r="D476" s="4" t="str">
        <f>IFERROR(VLOOKUP(B476, estoque!B:D, 3, 0) * C476, "")</f>
        <v/>
      </c>
    </row>
    <row r="477">
      <c r="B477" s="4"/>
      <c r="D477" s="4" t="str">
        <f>IFERROR(VLOOKUP(B477, estoque!B:D, 3, 0) * C477, "")</f>
        <v/>
      </c>
    </row>
    <row r="478">
      <c r="B478" s="4"/>
      <c r="D478" s="4" t="str">
        <f>IFERROR(VLOOKUP(B478, estoque!B:D, 3, 0) * C478, "")</f>
        <v/>
      </c>
    </row>
    <row r="479">
      <c r="B479" s="4"/>
      <c r="D479" s="4" t="str">
        <f>IFERROR(VLOOKUP(B479, estoque!B:D, 3, 0) * C479, "")</f>
        <v/>
      </c>
    </row>
    <row r="480">
      <c r="B480" s="4"/>
      <c r="D480" s="4" t="str">
        <f>IFERROR(VLOOKUP(B480, estoque!B:D, 3, 0) * C480, "")</f>
        <v/>
      </c>
    </row>
    <row r="481">
      <c r="B481" s="4"/>
      <c r="D481" s="4" t="str">
        <f>IFERROR(VLOOKUP(B481, estoque!B:D, 3, 0) * C481, "")</f>
        <v/>
      </c>
    </row>
    <row r="482">
      <c r="B482" s="4"/>
      <c r="D482" s="4" t="str">
        <f>IFERROR(VLOOKUP(B482, estoque!B:D, 3, 0) * C482, "")</f>
        <v/>
      </c>
    </row>
    <row r="483">
      <c r="B483" s="4"/>
      <c r="D483" s="4" t="str">
        <f>IFERROR(VLOOKUP(B483, estoque!B:D, 3, 0) * C483, "")</f>
        <v/>
      </c>
    </row>
    <row r="484">
      <c r="B484" s="4"/>
      <c r="D484" s="4" t="str">
        <f>IFERROR(VLOOKUP(B484, estoque!B:D, 3, 0) * C484, "")</f>
        <v/>
      </c>
    </row>
    <row r="485">
      <c r="B485" s="4"/>
      <c r="D485" s="4" t="str">
        <f>IFERROR(VLOOKUP(B485, estoque!B:D, 3, 0) * C485, "")</f>
        <v/>
      </c>
    </row>
    <row r="486">
      <c r="B486" s="4"/>
      <c r="D486" s="4" t="str">
        <f>IFERROR(VLOOKUP(B486, estoque!B:D, 3, 0) * C486, "")</f>
        <v/>
      </c>
    </row>
    <row r="487">
      <c r="B487" s="4"/>
      <c r="D487" s="4" t="str">
        <f>IFERROR(VLOOKUP(B487, estoque!B:D, 3, 0) * C487, "")</f>
        <v/>
      </c>
    </row>
    <row r="488">
      <c r="B488" s="4"/>
      <c r="D488" s="4" t="str">
        <f>IFERROR(VLOOKUP(B488, estoque!B:D, 3, 0) * C488, "")</f>
        <v/>
      </c>
    </row>
    <row r="489">
      <c r="B489" s="4"/>
      <c r="D489" s="4" t="str">
        <f>IFERROR(VLOOKUP(B489, estoque!B:D, 3, 0) * C489, "")</f>
        <v/>
      </c>
    </row>
    <row r="490">
      <c r="B490" s="4"/>
      <c r="D490" s="4" t="str">
        <f>IFERROR(VLOOKUP(B490, estoque!B:D, 3, 0) * C490, "")</f>
        <v/>
      </c>
    </row>
    <row r="491">
      <c r="B491" s="4"/>
      <c r="D491" s="4" t="str">
        <f>IFERROR(VLOOKUP(B491, estoque!B:D, 3, 0) * C491, "")</f>
        <v/>
      </c>
    </row>
    <row r="492">
      <c r="B492" s="4"/>
      <c r="D492" s="4" t="str">
        <f>IFERROR(VLOOKUP(B492, estoque!B:D, 3, 0) * C492, "")</f>
        <v/>
      </c>
    </row>
    <row r="493">
      <c r="B493" s="4"/>
      <c r="D493" s="4" t="str">
        <f>IFERROR(VLOOKUP(B493, estoque!B:D, 3, 0) * C493, "")</f>
        <v/>
      </c>
    </row>
    <row r="494">
      <c r="B494" s="4"/>
      <c r="D494" s="4" t="str">
        <f>IFERROR(VLOOKUP(B494, estoque!B:D, 3, 0) * C494, "")</f>
        <v/>
      </c>
    </row>
    <row r="495">
      <c r="B495" s="4"/>
      <c r="D495" s="4" t="str">
        <f>IFERROR(VLOOKUP(B495, estoque!B:D, 3, 0) * C495, "")</f>
        <v/>
      </c>
    </row>
    <row r="496">
      <c r="B496" s="4"/>
      <c r="D496" s="4" t="str">
        <f>IFERROR(VLOOKUP(B496, estoque!B:D, 3, 0) * C496, "")</f>
        <v/>
      </c>
    </row>
    <row r="497">
      <c r="B497" s="4"/>
      <c r="D497" s="4" t="str">
        <f>IFERROR(VLOOKUP(B497, estoque!B:D, 3, 0) * C497, "")</f>
        <v/>
      </c>
    </row>
    <row r="498">
      <c r="B498" s="4"/>
      <c r="D498" s="4" t="str">
        <f>IFERROR(VLOOKUP(B498, estoque!B:D, 3, 0) * C498, "")</f>
        <v/>
      </c>
    </row>
    <row r="499">
      <c r="B499" s="4"/>
      <c r="D499" s="4" t="str">
        <f>IFERROR(VLOOKUP(B499, estoque!B:D, 3, 0) * C499, "")</f>
        <v/>
      </c>
    </row>
    <row r="500">
      <c r="B500" s="4"/>
      <c r="D500" s="4" t="str">
        <f>IFERROR(VLOOKUP(B500, estoque!B:D, 3, 0) * C500, "")</f>
        <v/>
      </c>
    </row>
    <row r="501">
      <c r="B501" s="4"/>
      <c r="D501" s="4" t="str">
        <f>IFERROR(VLOOKUP(B501, estoque!B:D, 3, 0) * C501, "")</f>
        <v/>
      </c>
    </row>
    <row r="502">
      <c r="B502" s="4"/>
      <c r="D502" s="4" t="str">
        <f>IFERROR(VLOOKUP(B502, estoque!B:D, 3, 0) * C502, "")</f>
        <v/>
      </c>
    </row>
    <row r="503">
      <c r="B503" s="4"/>
      <c r="D503" s="4" t="str">
        <f>IFERROR(VLOOKUP(B503, estoque!B:D, 3, 0) * C503, "")</f>
        <v/>
      </c>
    </row>
    <row r="504">
      <c r="B504" s="4"/>
      <c r="D504" s="4" t="str">
        <f>IFERROR(VLOOKUP(B504, estoque!B:D, 3, 0) * C504, "")</f>
        <v/>
      </c>
    </row>
    <row r="505">
      <c r="B505" s="4"/>
      <c r="D505" s="4" t="str">
        <f>IFERROR(VLOOKUP(B505, estoque!B:D, 3, 0) * C505, "")</f>
        <v/>
      </c>
    </row>
    <row r="506">
      <c r="B506" s="4"/>
      <c r="D506" s="4" t="str">
        <f>IFERROR(VLOOKUP(B506, estoque!B:D, 3, 0) * C506, "")</f>
        <v/>
      </c>
    </row>
    <row r="507">
      <c r="B507" s="4"/>
      <c r="D507" s="4" t="str">
        <f>IFERROR(VLOOKUP(B507, estoque!B:D, 3, 0) * C507, "")</f>
        <v/>
      </c>
    </row>
    <row r="508">
      <c r="B508" s="4"/>
      <c r="D508" s="4" t="str">
        <f>IFERROR(VLOOKUP(B508, estoque!B:D, 3, 0) * C508, "")</f>
        <v/>
      </c>
    </row>
    <row r="509">
      <c r="B509" s="4"/>
      <c r="D509" s="4" t="str">
        <f>IFERROR(VLOOKUP(B509, estoque!B:D, 3, 0) * C509, "")</f>
        <v/>
      </c>
    </row>
    <row r="510">
      <c r="B510" s="4"/>
      <c r="D510" s="4" t="str">
        <f>IFERROR(VLOOKUP(B510, estoque!B:D, 3, 0) * C510, "")</f>
        <v/>
      </c>
    </row>
    <row r="511">
      <c r="B511" s="4"/>
      <c r="D511" s="4" t="str">
        <f>IFERROR(VLOOKUP(B511, estoque!B:D, 3, 0) * C511, "")</f>
        <v/>
      </c>
    </row>
    <row r="512">
      <c r="B512" s="4"/>
      <c r="D512" s="4" t="str">
        <f>IFERROR(VLOOKUP(B512, estoque!B:D, 3, 0) * C512, "")</f>
        <v/>
      </c>
    </row>
    <row r="513">
      <c r="B513" s="4"/>
      <c r="D513" s="4" t="str">
        <f>IFERROR(VLOOKUP(B513, estoque!B:D, 3, 0) * C513, "")</f>
        <v/>
      </c>
    </row>
    <row r="514">
      <c r="B514" s="4"/>
      <c r="D514" s="4" t="str">
        <f>IFERROR(VLOOKUP(B514, estoque!B:D, 3, 0) * C514, "")</f>
        <v/>
      </c>
    </row>
    <row r="515">
      <c r="B515" s="4"/>
      <c r="D515" s="4" t="str">
        <f>IFERROR(VLOOKUP(B515, estoque!B:D, 3, 0) * C515, "")</f>
        <v/>
      </c>
    </row>
    <row r="516">
      <c r="B516" s="4"/>
      <c r="D516" s="4" t="str">
        <f>IFERROR(VLOOKUP(B516, estoque!B:D, 3, 0) * C516, "")</f>
        <v/>
      </c>
    </row>
    <row r="517">
      <c r="B517" s="4"/>
      <c r="D517" s="4" t="str">
        <f>IFERROR(VLOOKUP(B517, estoque!B:D, 3, 0) * C517, "")</f>
        <v/>
      </c>
    </row>
    <row r="518">
      <c r="B518" s="4"/>
      <c r="D518" s="4" t="str">
        <f>IFERROR(VLOOKUP(B518, estoque!B:D, 3, 0) * C518, "")</f>
        <v/>
      </c>
    </row>
    <row r="519">
      <c r="B519" s="4"/>
      <c r="D519" s="4" t="str">
        <f>IFERROR(VLOOKUP(B519, estoque!B:D, 3, 0) * C519, "")</f>
        <v/>
      </c>
    </row>
    <row r="520">
      <c r="B520" s="4"/>
      <c r="D520" s="4" t="str">
        <f>IFERROR(VLOOKUP(B520, estoque!B:D, 3, 0) * C520, "")</f>
        <v/>
      </c>
    </row>
    <row r="521">
      <c r="B521" s="4"/>
      <c r="D521" s="4" t="str">
        <f>IFERROR(VLOOKUP(B521, estoque!B:D, 3, 0) * C521, "")</f>
        <v/>
      </c>
    </row>
    <row r="522">
      <c r="B522" s="4"/>
      <c r="D522" s="4" t="str">
        <f>IFERROR(VLOOKUP(B522, estoque!B:D, 3, 0) * C522, "")</f>
        <v/>
      </c>
    </row>
    <row r="523">
      <c r="B523" s="4"/>
      <c r="D523" s="4" t="str">
        <f>IFERROR(VLOOKUP(B523, estoque!B:D, 3, 0) * C523, "")</f>
        <v/>
      </c>
    </row>
    <row r="524">
      <c r="B524" s="4"/>
      <c r="D524" s="4" t="str">
        <f>IFERROR(VLOOKUP(B524, estoque!B:D, 3, 0) * C524, "")</f>
        <v/>
      </c>
    </row>
    <row r="525">
      <c r="B525" s="4"/>
      <c r="D525" s="4" t="str">
        <f>IFERROR(VLOOKUP(B525, estoque!B:D, 3, 0) * C525, "")</f>
        <v/>
      </c>
    </row>
    <row r="526">
      <c r="B526" s="4"/>
      <c r="D526" s="4" t="str">
        <f>IFERROR(VLOOKUP(B526, estoque!B:D, 3, 0) * C526, "")</f>
        <v/>
      </c>
    </row>
    <row r="527">
      <c r="B527" s="4"/>
      <c r="D527" s="4" t="str">
        <f>IFERROR(VLOOKUP(B527, estoque!B:D, 3, 0) * C527, "")</f>
        <v/>
      </c>
    </row>
    <row r="528">
      <c r="B528" s="4"/>
      <c r="D528" s="4" t="str">
        <f>IFERROR(VLOOKUP(B528, estoque!B:D, 3, 0) * C528, "")</f>
        <v/>
      </c>
    </row>
    <row r="529">
      <c r="B529" s="4"/>
      <c r="D529" s="4" t="str">
        <f>IFERROR(VLOOKUP(B529, estoque!B:D, 3, 0) * C529, "")</f>
        <v/>
      </c>
    </row>
    <row r="530">
      <c r="B530" s="4"/>
      <c r="D530" s="4" t="str">
        <f>IFERROR(VLOOKUP(B530, estoque!B:D, 3, 0) * C530, "")</f>
        <v/>
      </c>
    </row>
    <row r="531">
      <c r="B531" s="4"/>
      <c r="D531" s="4" t="str">
        <f>IFERROR(VLOOKUP(B531, estoque!B:D, 3, 0) * C531, "")</f>
        <v/>
      </c>
    </row>
    <row r="532">
      <c r="B532" s="4"/>
      <c r="D532" s="4" t="str">
        <f>IFERROR(VLOOKUP(B532, estoque!B:D, 3, 0) * C532, "")</f>
        <v/>
      </c>
    </row>
    <row r="533">
      <c r="B533" s="4"/>
      <c r="D533" s="4" t="str">
        <f>IFERROR(VLOOKUP(B533, estoque!B:D, 3, 0) * C533, "")</f>
        <v/>
      </c>
    </row>
    <row r="534">
      <c r="B534" s="4"/>
      <c r="D534" s="4" t="str">
        <f>IFERROR(VLOOKUP(B534, estoque!B:D, 3, 0) * C534, "")</f>
        <v/>
      </c>
    </row>
    <row r="535">
      <c r="B535" s="4"/>
      <c r="D535" s="4" t="str">
        <f>IFERROR(VLOOKUP(B535, estoque!B:D, 3, 0) * C535, "")</f>
        <v/>
      </c>
    </row>
    <row r="536">
      <c r="B536" s="4"/>
      <c r="D536" s="4" t="str">
        <f>IFERROR(VLOOKUP(B536, estoque!B:D, 3, 0) * C536, "")</f>
        <v/>
      </c>
    </row>
    <row r="537">
      <c r="B537" s="4"/>
      <c r="D537" s="4" t="str">
        <f>IFERROR(VLOOKUP(B537, estoque!B:D, 3, 0) * C537, "")</f>
        <v/>
      </c>
    </row>
    <row r="538">
      <c r="B538" s="4"/>
      <c r="D538" s="4" t="str">
        <f>IFERROR(VLOOKUP(B538, estoque!B:D, 3, 0) * C538, "")</f>
        <v/>
      </c>
    </row>
    <row r="539">
      <c r="B539" s="4"/>
      <c r="D539" s="4" t="str">
        <f>IFERROR(VLOOKUP(B539, estoque!B:D, 3, 0) * C539, "")</f>
        <v/>
      </c>
    </row>
    <row r="540">
      <c r="B540" s="4"/>
      <c r="D540" s="4" t="str">
        <f>IFERROR(VLOOKUP(B540, estoque!B:D, 3, 0) * C540, "")</f>
        <v/>
      </c>
    </row>
    <row r="541">
      <c r="B541" s="4"/>
      <c r="D541" s="4" t="str">
        <f>IFERROR(VLOOKUP(B541, estoque!B:D, 3, 0) * C541, "")</f>
        <v/>
      </c>
    </row>
    <row r="542">
      <c r="B542" s="4"/>
      <c r="D542" s="4" t="str">
        <f>IFERROR(VLOOKUP(B542, estoque!B:D, 3, 0) * C542, "")</f>
        <v/>
      </c>
    </row>
    <row r="543">
      <c r="B543" s="4"/>
      <c r="D543" s="4" t="str">
        <f>IFERROR(VLOOKUP(B543, estoque!B:D, 3, 0) * C543, "")</f>
        <v/>
      </c>
    </row>
    <row r="544">
      <c r="B544" s="4"/>
      <c r="D544" s="4" t="str">
        <f>IFERROR(VLOOKUP(B544, estoque!B:D, 3, 0) * C544, "")</f>
        <v/>
      </c>
    </row>
    <row r="545">
      <c r="B545" s="4"/>
      <c r="D545" s="4" t="str">
        <f>IFERROR(VLOOKUP(B545, estoque!B:D, 3, 0) * C545, "")</f>
        <v/>
      </c>
    </row>
    <row r="546">
      <c r="B546" s="4"/>
      <c r="D546" s="4" t="str">
        <f>IFERROR(VLOOKUP(B546, estoque!B:D, 3, 0) * C546, "")</f>
        <v/>
      </c>
    </row>
    <row r="547">
      <c r="B547" s="4"/>
      <c r="D547" s="4" t="str">
        <f>IFERROR(VLOOKUP(B547, estoque!B:D, 3, 0) * C547, "")</f>
        <v/>
      </c>
    </row>
    <row r="548">
      <c r="B548" s="4"/>
      <c r="D548" s="4" t="str">
        <f>IFERROR(VLOOKUP(B548, estoque!B:D, 3, 0) * C548, "")</f>
        <v/>
      </c>
    </row>
    <row r="549">
      <c r="B549" s="4"/>
      <c r="D549" s="4" t="str">
        <f>IFERROR(VLOOKUP(B549, estoque!B:D, 3, 0) * C549, "")</f>
        <v/>
      </c>
    </row>
    <row r="550">
      <c r="B550" s="4"/>
      <c r="D550" s="4" t="str">
        <f>IFERROR(VLOOKUP(B550, estoque!B:D, 3, 0) * C550, "")</f>
        <v/>
      </c>
    </row>
    <row r="551">
      <c r="B551" s="4"/>
      <c r="D551" s="4" t="str">
        <f>IFERROR(VLOOKUP(B551, estoque!B:D, 3, 0) * C551, "")</f>
        <v/>
      </c>
    </row>
    <row r="552">
      <c r="B552" s="4"/>
      <c r="D552" s="4" t="str">
        <f>IFERROR(VLOOKUP(B552, estoque!B:D, 3, 0) * C552, "")</f>
        <v/>
      </c>
    </row>
    <row r="553">
      <c r="B553" s="4"/>
      <c r="D553" s="4" t="str">
        <f>IFERROR(VLOOKUP(B553, estoque!B:D, 3, 0) * C553, "")</f>
        <v/>
      </c>
    </row>
    <row r="554">
      <c r="B554" s="4"/>
      <c r="D554" s="4" t="str">
        <f>IFERROR(VLOOKUP(B554, estoque!B:D, 3, 0) * C554, "")</f>
        <v/>
      </c>
    </row>
    <row r="555">
      <c r="B555" s="4"/>
      <c r="D555" s="4" t="str">
        <f>IFERROR(VLOOKUP(B555, estoque!B:D, 3, 0) * C555, "")</f>
        <v/>
      </c>
    </row>
    <row r="556">
      <c r="B556" s="4"/>
      <c r="D556" s="4" t="str">
        <f>IFERROR(VLOOKUP(B556, estoque!B:D, 3, 0) * C556, "")</f>
        <v/>
      </c>
    </row>
    <row r="557">
      <c r="B557" s="4"/>
      <c r="D557" s="4" t="str">
        <f>IFERROR(VLOOKUP(B557, estoque!B:D, 3, 0) * C557, "")</f>
        <v/>
      </c>
    </row>
    <row r="558">
      <c r="B558" s="4"/>
      <c r="D558" s="4" t="str">
        <f>IFERROR(VLOOKUP(B558, estoque!B:D, 3, 0) * C558, "")</f>
        <v/>
      </c>
    </row>
    <row r="559">
      <c r="B559" s="4"/>
      <c r="D559" s="4" t="str">
        <f>IFERROR(VLOOKUP(B559, estoque!B:D, 3, 0) * C559, "")</f>
        <v/>
      </c>
    </row>
    <row r="560">
      <c r="B560" s="4"/>
      <c r="D560" s="4" t="str">
        <f>IFERROR(VLOOKUP(B560, estoque!B:D, 3, 0) * C560, "")</f>
        <v/>
      </c>
    </row>
    <row r="561">
      <c r="B561" s="4"/>
      <c r="D561" s="4" t="str">
        <f>IFERROR(VLOOKUP(B561, estoque!B:D, 3, 0) * C561, "")</f>
        <v/>
      </c>
    </row>
    <row r="562">
      <c r="B562" s="4"/>
      <c r="D562" s="4" t="str">
        <f>IFERROR(VLOOKUP(B562, estoque!B:D, 3, 0) * C562, "")</f>
        <v/>
      </c>
    </row>
    <row r="563">
      <c r="B563" s="4"/>
      <c r="D563" s="4" t="str">
        <f>IFERROR(VLOOKUP(B563, estoque!B:D, 3, 0) * C563, "")</f>
        <v/>
      </c>
    </row>
    <row r="564">
      <c r="B564" s="4"/>
      <c r="D564" s="4" t="str">
        <f>IFERROR(VLOOKUP(B564, estoque!B:D, 3, 0) * C564, "")</f>
        <v/>
      </c>
    </row>
    <row r="565">
      <c r="B565" s="4"/>
      <c r="D565" s="4" t="str">
        <f>IFERROR(VLOOKUP(B565, estoque!B:D, 3, 0) * C565, "")</f>
        <v/>
      </c>
    </row>
    <row r="566">
      <c r="B566" s="4"/>
      <c r="D566" s="4" t="str">
        <f>IFERROR(VLOOKUP(B566, estoque!B:D, 3, 0) * C566, "")</f>
        <v/>
      </c>
    </row>
    <row r="567">
      <c r="B567" s="4"/>
      <c r="D567" s="4" t="str">
        <f>IFERROR(VLOOKUP(B567, estoque!B:D, 3, 0) * C567, "")</f>
        <v/>
      </c>
    </row>
    <row r="568">
      <c r="B568" s="4"/>
      <c r="D568" s="4" t="str">
        <f>IFERROR(VLOOKUP(B568, estoque!B:D, 3, 0) * C568, "")</f>
        <v/>
      </c>
    </row>
    <row r="569">
      <c r="B569" s="4"/>
      <c r="D569" s="4" t="str">
        <f>IFERROR(VLOOKUP(B569, estoque!B:D, 3, 0) * C569, "")</f>
        <v/>
      </c>
    </row>
    <row r="570">
      <c r="B570" s="4"/>
      <c r="D570" s="4" t="str">
        <f>IFERROR(VLOOKUP(B570, estoque!B:D, 3, 0) * C570, "")</f>
        <v/>
      </c>
    </row>
    <row r="571">
      <c r="B571" s="4"/>
      <c r="D571" s="4" t="str">
        <f>IFERROR(VLOOKUP(B571, estoque!B:D, 3, 0) * C571, "")</f>
        <v/>
      </c>
    </row>
    <row r="572">
      <c r="B572" s="4"/>
      <c r="D572" s="4" t="str">
        <f>IFERROR(VLOOKUP(B572, estoque!B:D, 3, 0) * C572, "")</f>
        <v/>
      </c>
    </row>
    <row r="573">
      <c r="B573" s="4"/>
      <c r="D573" s="4" t="str">
        <f>IFERROR(VLOOKUP(B573, estoque!B:D, 3, 0) * C573, "")</f>
        <v/>
      </c>
    </row>
    <row r="574">
      <c r="B574" s="4"/>
      <c r="D574" s="4" t="str">
        <f>IFERROR(VLOOKUP(B574, estoque!B:D, 3, 0) * C574, "")</f>
        <v/>
      </c>
    </row>
    <row r="575">
      <c r="B575" s="4"/>
      <c r="D575" s="4" t="str">
        <f>IFERROR(VLOOKUP(B575, estoque!B:D, 3, 0) * C575, "")</f>
        <v/>
      </c>
    </row>
    <row r="576">
      <c r="B576" s="4"/>
      <c r="D576" s="4" t="str">
        <f>IFERROR(VLOOKUP(B576, estoque!B:D, 3, 0) * C576, "")</f>
        <v/>
      </c>
    </row>
    <row r="577">
      <c r="B577" s="4"/>
      <c r="D577" s="4" t="str">
        <f>IFERROR(VLOOKUP(B577, estoque!B:D, 3, 0) * C577, "")</f>
        <v/>
      </c>
    </row>
    <row r="578">
      <c r="B578" s="4"/>
      <c r="D578" s="4" t="str">
        <f>IFERROR(VLOOKUP(B578, estoque!B:D, 3, 0) * C578, "")</f>
        <v/>
      </c>
    </row>
    <row r="579">
      <c r="B579" s="4"/>
      <c r="D579" s="4" t="str">
        <f>IFERROR(VLOOKUP(B579, estoque!B:D, 3, 0) * C579, "")</f>
        <v/>
      </c>
    </row>
    <row r="580">
      <c r="B580" s="4"/>
      <c r="D580" s="4" t="str">
        <f>IFERROR(VLOOKUP(B580, estoque!B:D, 3, 0) * C580, "")</f>
        <v/>
      </c>
    </row>
    <row r="581">
      <c r="B581" s="4"/>
      <c r="D581" s="4" t="str">
        <f>IFERROR(VLOOKUP(B581, estoque!B:D, 3, 0) * C581, "")</f>
        <v/>
      </c>
    </row>
    <row r="582">
      <c r="B582" s="4"/>
      <c r="D582" s="4" t="str">
        <f>IFERROR(VLOOKUP(B582, estoque!B:D, 3, 0) * C582, "")</f>
        <v/>
      </c>
    </row>
    <row r="583">
      <c r="B583" s="4"/>
      <c r="D583" s="4" t="str">
        <f>IFERROR(VLOOKUP(B583, estoque!B:D, 3, 0) * C583, "")</f>
        <v/>
      </c>
    </row>
    <row r="584">
      <c r="B584" s="4"/>
      <c r="D584" s="4" t="str">
        <f>IFERROR(VLOOKUP(B584, estoque!B:D, 3, 0) * C584, "")</f>
        <v/>
      </c>
    </row>
    <row r="585">
      <c r="B585" s="4"/>
      <c r="D585" s="4" t="str">
        <f>IFERROR(VLOOKUP(B585, estoque!B:D, 3, 0) * C585, "")</f>
        <v/>
      </c>
    </row>
    <row r="586">
      <c r="B586" s="4"/>
      <c r="D586" s="4" t="str">
        <f>IFERROR(VLOOKUP(B586, estoque!B:D, 3, 0) * C586, "")</f>
        <v/>
      </c>
    </row>
    <row r="587">
      <c r="B587" s="4"/>
      <c r="D587" s="4" t="str">
        <f>IFERROR(VLOOKUP(B587, estoque!B:D, 3, 0) * C587, "")</f>
        <v/>
      </c>
    </row>
    <row r="588">
      <c r="B588" s="4"/>
      <c r="D588" s="4" t="str">
        <f>IFERROR(VLOOKUP(B588, estoque!B:D, 3, 0) * C588, "")</f>
        <v/>
      </c>
    </row>
    <row r="589">
      <c r="B589" s="4"/>
      <c r="D589" s="4" t="str">
        <f>IFERROR(VLOOKUP(B589, estoque!B:D, 3, 0) * C589, "")</f>
        <v/>
      </c>
    </row>
    <row r="590">
      <c r="B590" s="4"/>
      <c r="D590" s="4" t="str">
        <f>IFERROR(VLOOKUP(B590, estoque!B:D, 3, 0) * C590, "")</f>
        <v/>
      </c>
    </row>
    <row r="591">
      <c r="B591" s="4"/>
      <c r="D591" s="4" t="str">
        <f>IFERROR(VLOOKUP(B591, estoque!B:D, 3, 0) * C591, "")</f>
        <v/>
      </c>
    </row>
    <row r="592">
      <c r="B592" s="4"/>
      <c r="D592" s="4" t="str">
        <f>IFERROR(VLOOKUP(B592, estoque!B:D, 3, 0) * C592, "")</f>
        <v/>
      </c>
    </row>
    <row r="593">
      <c r="B593" s="4"/>
      <c r="D593" s="4" t="str">
        <f>IFERROR(VLOOKUP(B593, estoque!B:D, 3, 0) * C593, "")</f>
        <v/>
      </c>
    </row>
    <row r="594">
      <c r="B594" s="4"/>
      <c r="D594" s="4" t="str">
        <f>IFERROR(VLOOKUP(B594, estoque!B:D, 3, 0) * C594, "")</f>
        <v/>
      </c>
    </row>
    <row r="595">
      <c r="B595" s="4"/>
      <c r="D595" s="4" t="str">
        <f>IFERROR(VLOOKUP(B595, estoque!B:D, 3, 0) * C595, "")</f>
        <v/>
      </c>
    </row>
    <row r="596">
      <c r="B596" s="4"/>
      <c r="D596" s="4" t="str">
        <f>IFERROR(VLOOKUP(B596, estoque!B:D, 3, 0) * C596, "")</f>
        <v/>
      </c>
    </row>
    <row r="597">
      <c r="B597" s="4"/>
      <c r="D597" s="4" t="str">
        <f>IFERROR(VLOOKUP(B597, estoque!B:D, 3, 0) * C597, "")</f>
        <v/>
      </c>
    </row>
    <row r="598">
      <c r="B598" s="4"/>
      <c r="D598" s="4" t="str">
        <f>IFERROR(VLOOKUP(B598, estoque!B:D, 3, 0) * C598, "")</f>
        <v/>
      </c>
    </row>
    <row r="599">
      <c r="B599" s="4"/>
      <c r="D599" s="4" t="str">
        <f>IFERROR(VLOOKUP(B599, estoque!B:D, 3, 0) * C599, "")</f>
        <v/>
      </c>
    </row>
    <row r="600">
      <c r="B600" s="4"/>
      <c r="D600" s="4" t="str">
        <f>IFERROR(VLOOKUP(B600, estoque!B:D, 3, 0) * C600, "")</f>
        <v/>
      </c>
    </row>
    <row r="601">
      <c r="B601" s="4"/>
      <c r="D601" s="4" t="str">
        <f>IFERROR(VLOOKUP(B601, estoque!B:D, 3, 0) * C601, "")</f>
        <v/>
      </c>
    </row>
    <row r="602">
      <c r="B602" s="4"/>
      <c r="D602" s="4" t="str">
        <f>IFERROR(VLOOKUP(B602, estoque!B:D, 3, 0) * C602, "")</f>
        <v/>
      </c>
    </row>
    <row r="603">
      <c r="B603" s="4"/>
      <c r="D603" s="4" t="str">
        <f>IFERROR(VLOOKUP(B603, estoque!B:D, 3, 0) * C603, "")</f>
        <v/>
      </c>
    </row>
    <row r="604">
      <c r="B604" s="4"/>
      <c r="D604" s="4" t="str">
        <f>IFERROR(VLOOKUP(B604, estoque!B:D, 3, 0) * C604, "")</f>
        <v/>
      </c>
    </row>
    <row r="605">
      <c r="B605" s="4"/>
      <c r="D605" s="4" t="str">
        <f>IFERROR(VLOOKUP(B605, estoque!B:D, 3, 0) * C605, "")</f>
        <v/>
      </c>
    </row>
    <row r="606">
      <c r="B606" s="4"/>
      <c r="D606" s="4" t="str">
        <f>IFERROR(VLOOKUP(B606, estoque!B:D, 3, 0) * C606, "")</f>
        <v/>
      </c>
    </row>
    <row r="607">
      <c r="B607" s="4"/>
      <c r="D607" s="4" t="str">
        <f>IFERROR(VLOOKUP(B607, estoque!B:D, 3, 0) * C607, "")</f>
        <v/>
      </c>
    </row>
    <row r="608">
      <c r="B608" s="4"/>
      <c r="D608" s="4" t="str">
        <f>IFERROR(VLOOKUP(B608, estoque!B:D, 3, 0) * C608, "")</f>
        <v/>
      </c>
    </row>
    <row r="609">
      <c r="B609" s="4"/>
      <c r="D609" s="4" t="str">
        <f>IFERROR(VLOOKUP(B609, estoque!B:D, 3, 0) * C609, "")</f>
        <v/>
      </c>
    </row>
    <row r="610">
      <c r="B610" s="4"/>
      <c r="D610" s="4" t="str">
        <f>IFERROR(VLOOKUP(B610, estoque!B:D, 3, 0) * C610, "")</f>
        <v/>
      </c>
    </row>
    <row r="611">
      <c r="B611" s="4"/>
      <c r="D611" s="4" t="str">
        <f>IFERROR(VLOOKUP(B611, estoque!B:D, 3, 0) * C611, "")</f>
        <v/>
      </c>
    </row>
    <row r="612">
      <c r="B612" s="4"/>
      <c r="D612" s="4" t="str">
        <f>IFERROR(VLOOKUP(B612, estoque!B:D, 3, 0) * C612, "")</f>
        <v/>
      </c>
    </row>
    <row r="613">
      <c r="B613" s="4"/>
      <c r="D613" s="4" t="str">
        <f>IFERROR(VLOOKUP(B613, estoque!B:D, 3, 0) * C613, "")</f>
        <v/>
      </c>
    </row>
    <row r="614">
      <c r="B614" s="4"/>
      <c r="D614" s="4" t="str">
        <f>IFERROR(VLOOKUP(B614, estoque!B:D, 3, 0) * C614, "")</f>
        <v/>
      </c>
    </row>
    <row r="615">
      <c r="B615" s="4"/>
      <c r="D615" s="4" t="str">
        <f>IFERROR(VLOOKUP(B615, estoque!B:D, 3, 0) * C615, "")</f>
        <v/>
      </c>
    </row>
    <row r="616">
      <c r="B616" s="4"/>
      <c r="D616" s="4" t="str">
        <f>IFERROR(VLOOKUP(B616, estoque!B:D, 3, 0) * C616, "")</f>
        <v/>
      </c>
    </row>
    <row r="617">
      <c r="B617" s="4"/>
      <c r="D617" s="4" t="str">
        <f>IFERROR(VLOOKUP(B617, estoque!B:D, 3, 0) * C617, "")</f>
        <v/>
      </c>
    </row>
    <row r="618">
      <c r="B618" s="4"/>
      <c r="D618" s="4" t="str">
        <f>IFERROR(VLOOKUP(B618, estoque!B:D, 3, 0) * C618, "")</f>
        <v/>
      </c>
    </row>
    <row r="619">
      <c r="B619" s="4"/>
      <c r="D619" s="4" t="str">
        <f>IFERROR(VLOOKUP(B619, estoque!B:D, 3, 0) * C619, "")</f>
        <v/>
      </c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ataValidations>
    <dataValidation type="list" allowBlank="1" showErrorMessage="1" sqref="B2:B1000">
      <formula1>"creme para fibra organica,durag,kit cabelo,merchan camisa,merchan ecobag,oléo de coco,oleo extraordinario,PRODUTO,shampoo rei dos cachos,touca de cetim"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</cols>
  <sheetData>
    <row r="1">
      <c r="A1" s="2" t="s">
        <v>1</v>
      </c>
      <c r="B1" s="2" t="s">
        <v>100</v>
      </c>
      <c r="C1" s="2" t="s">
        <v>101</v>
      </c>
      <c r="D1" s="2" t="s">
        <v>5</v>
      </c>
    </row>
    <row r="2">
      <c r="C2" s="2" t="s">
        <v>102</v>
      </c>
      <c r="D2" s="2">
        <v>1500.0</v>
      </c>
    </row>
    <row r="3">
      <c r="C3" s="2" t="s">
        <v>103</v>
      </c>
      <c r="D3" s="2">
        <v>500.0</v>
      </c>
    </row>
    <row r="4">
      <c r="C4" s="2" t="s">
        <v>104</v>
      </c>
      <c r="D4" s="2">
        <v>250.0</v>
      </c>
    </row>
    <row r="5">
      <c r="C5" s="2" t="s">
        <v>105</v>
      </c>
      <c r="D5" s="2">
        <v>800.0</v>
      </c>
    </row>
    <row r="6">
      <c r="C6" s="2" t="s">
        <v>106</v>
      </c>
      <c r="D6" s="2">
        <v>250.0</v>
      </c>
    </row>
    <row r="7">
      <c r="C7" s="2" t="s">
        <v>107</v>
      </c>
      <c r="D7" s="2">
        <v>250.0</v>
      </c>
    </row>
    <row r="8">
      <c r="C8" s="2" t="s">
        <v>108</v>
      </c>
      <c r="D8" s="2">
        <v>1000.0</v>
      </c>
    </row>
    <row r="9">
      <c r="C9" s="2" t="s">
        <v>109</v>
      </c>
      <c r="D9" s="2">
        <v>1500.0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7" max="7" width="18.0"/>
  </cols>
  <sheetData>
    <row r="1">
      <c r="A1" s="2" t="s">
        <v>110</v>
      </c>
      <c r="B1" s="2" t="s">
        <v>111</v>
      </c>
    </row>
    <row r="2">
      <c r="A2" s="2" t="s">
        <v>112</v>
      </c>
      <c r="B2" s="4">
        <f>SUM(atendimentos!F:F)</f>
        <v>6130</v>
      </c>
    </row>
    <row r="3">
      <c r="A3" s="2" t="s">
        <v>113</v>
      </c>
      <c r="B3" s="4">
        <f>SUM(vendas!D:D)</f>
        <v>745</v>
      </c>
    </row>
    <row r="4">
      <c r="A4" s="2" t="s">
        <v>114</v>
      </c>
      <c r="B4" s="4">
        <f>B2 + B3</f>
        <v>6875</v>
      </c>
    </row>
    <row r="5">
      <c r="A5" s="2" t="s">
        <v>115</v>
      </c>
      <c r="B5" s="4">
        <f>SUM(atendimentos!G:G)</f>
        <v>2452</v>
      </c>
    </row>
    <row r="6">
      <c r="A6" s="2" t="s">
        <v>116</v>
      </c>
      <c r="B6" s="4">
        <f>SUM(gastos!D:D)</f>
        <v>6050</v>
      </c>
    </row>
    <row r="7">
      <c r="A7" s="2" t="s">
        <v>117</v>
      </c>
      <c r="B7" s="4">
        <f>B4 - B5 - B6</f>
        <v>-1627</v>
      </c>
    </row>
  </sheetData>
  <drawing r:id="rId1"/>
</worksheet>
</file>